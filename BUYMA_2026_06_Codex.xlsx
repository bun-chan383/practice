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iyagawafumiaki/Desktop/"/>
    </mc:Choice>
  </mc:AlternateContent>
  <xr:revisionPtr revIDLastSave="0" documentId="8_{249131E5-C8EA-6B46-8CB2-11B8C8C6EC34}" xr6:coauthVersionLast="47" xr6:coauthVersionMax="47" xr10:uidLastSave="{00000000-0000-0000-0000-000000000000}"/>
  <bookViews>
    <workbookView xWindow="55860" yWindow="7200" windowWidth="33680" windowHeight="21600" xr2:uid="{00000000-000D-0000-FFFF-FFFF00000000}"/>
  </bookViews>
  <sheets>
    <sheet name="本番管理" sheetId="1" r:id="rId1"/>
    <sheet name="本番管理の使い方" sheetId="2" r:id="rId2"/>
    <sheet name="出品中管理" sheetId="3" r:id="rId3"/>
    <sheet name="出品中管理の使い方" sheetId="4" r:id="rId4"/>
    <sheet name="受注管理" sheetId="5" r:id="rId5"/>
    <sheet name="受注管理の使い方" sheetId="6" r:id="rId6"/>
    <sheet name="設定リスト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01" i="5" l="1"/>
  <c r="AA201" i="5"/>
  <c r="T201" i="5"/>
  <c r="O201" i="5"/>
  <c r="N201" i="5"/>
  <c r="AB200" i="5"/>
  <c r="AA200" i="5"/>
  <c r="T200" i="5"/>
  <c r="O200" i="5"/>
  <c r="N200" i="5"/>
  <c r="AB199" i="5"/>
  <c r="AA199" i="5"/>
  <c r="T199" i="5"/>
  <c r="O199" i="5"/>
  <c r="N199" i="5"/>
  <c r="AB198" i="5"/>
  <c r="AA198" i="5"/>
  <c r="T198" i="5"/>
  <c r="O198" i="5"/>
  <c r="N198" i="5"/>
  <c r="AB197" i="5"/>
  <c r="AA197" i="5"/>
  <c r="T197" i="5"/>
  <c r="O197" i="5"/>
  <c r="N197" i="5"/>
  <c r="AB196" i="5"/>
  <c r="AA196" i="5"/>
  <c r="T196" i="5"/>
  <c r="O196" i="5"/>
  <c r="N196" i="5"/>
  <c r="AB195" i="5"/>
  <c r="AA195" i="5"/>
  <c r="T195" i="5"/>
  <c r="O195" i="5"/>
  <c r="N195" i="5"/>
  <c r="AB194" i="5"/>
  <c r="AA194" i="5"/>
  <c r="T194" i="5"/>
  <c r="O194" i="5"/>
  <c r="N194" i="5"/>
  <c r="AB193" i="5"/>
  <c r="AA193" i="5"/>
  <c r="T193" i="5"/>
  <c r="O193" i="5"/>
  <c r="N193" i="5"/>
  <c r="AB192" i="5"/>
  <c r="AA192" i="5"/>
  <c r="T192" i="5"/>
  <c r="O192" i="5"/>
  <c r="N192" i="5"/>
  <c r="AB191" i="5"/>
  <c r="AA191" i="5"/>
  <c r="T191" i="5"/>
  <c r="O191" i="5"/>
  <c r="N191" i="5"/>
  <c r="AB190" i="5"/>
  <c r="AA190" i="5"/>
  <c r="T190" i="5"/>
  <c r="O190" i="5"/>
  <c r="N190" i="5"/>
  <c r="AB189" i="5"/>
  <c r="AA189" i="5"/>
  <c r="T189" i="5"/>
  <c r="O189" i="5"/>
  <c r="N189" i="5"/>
  <c r="AB188" i="5"/>
  <c r="AA188" i="5"/>
  <c r="T188" i="5"/>
  <c r="O188" i="5"/>
  <c r="N188" i="5"/>
  <c r="AB187" i="5"/>
  <c r="AA187" i="5"/>
  <c r="T187" i="5"/>
  <c r="O187" i="5"/>
  <c r="N187" i="5"/>
  <c r="AB186" i="5"/>
  <c r="AA186" i="5"/>
  <c r="T186" i="5"/>
  <c r="O186" i="5"/>
  <c r="N186" i="5"/>
  <c r="AB185" i="5"/>
  <c r="AA185" i="5"/>
  <c r="T185" i="5"/>
  <c r="O185" i="5"/>
  <c r="N185" i="5"/>
  <c r="AB184" i="5"/>
  <c r="AA184" i="5"/>
  <c r="T184" i="5"/>
  <c r="O184" i="5"/>
  <c r="N184" i="5"/>
  <c r="AB183" i="5"/>
  <c r="AA183" i="5"/>
  <c r="T183" i="5"/>
  <c r="O183" i="5"/>
  <c r="N183" i="5"/>
  <c r="AB182" i="5"/>
  <c r="AA182" i="5"/>
  <c r="T182" i="5"/>
  <c r="O182" i="5"/>
  <c r="N182" i="5"/>
  <c r="AB181" i="5"/>
  <c r="AA181" i="5"/>
  <c r="T181" i="5"/>
  <c r="O181" i="5"/>
  <c r="N181" i="5"/>
  <c r="AB180" i="5"/>
  <c r="AA180" i="5"/>
  <c r="T180" i="5"/>
  <c r="O180" i="5"/>
  <c r="N180" i="5"/>
  <c r="AB179" i="5"/>
  <c r="AA179" i="5"/>
  <c r="T179" i="5"/>
  <c r="O179" i="5"/>
  <c r="N179" i="5"/>
  <c r="AB178" i="5"/>
  <c r="AA178" i="5"/>
  <c r="T178" i="5"/>
  <c r="O178" i="5"/>
  <c r="N178" i="5"/>
  <c r="AB177" i="5"/>
  <c r="AA177" i="5"/>
  <c r="T177" i="5"/>
  <c r="O177" i="5"/>
  <c r="N177" i="5"/>
  <c r="AB176" i="5"/>
  <c r="AA176" i="5"/>
  <c r="T176" i="5"/>
  <c r="O176" i="5"/>
  <c r="N176" i="5"/>
  <c r="AB175" i="5"/>
  <c r="AA175" i="5"/>
  <c r="T175" i="5"/>
  <c r="O175" i="5"/>
  <c r="N175" i="5"/>
  <c r="AB174" i="5"/>
  <c r="AA174" i="5"/>
  <c r="T174" i="5"/>
  <c r="O174" i="5"/>
  <c r="N174" i="5"/>
  <c r="AB173" i="5"/>
  <c r="AA173" i="5"/>
  <c r="T173" i="5"/>
  <c r="O173" i="5"/>
  <c r="N173" i="5"/>
  <c r="AB172" i="5"/>
  <c r="AA172" i="5"/>
  <c r="T172" i="5"/>
  <c r="O172" i="5"/>
  <c r="N172" i="5"/>
  <c r="AB171" i="5"/>
  <c r="AA171" i="5"/>
  <c r="T171" i="5"/>
  <c r="O171" i="5"/>
  <c r="N171" i="5"/>
  <c r="AB170" i="5"/>
  <c r="AA170" i="5"/>
  <c r="T170" i="5"/>
  <c r="O170" i="5"/>
  <c r="N170" i="5"/>
  <c r="AB169" i="5"/>
  <c r="AA169" i="5"/>
  <c r="T169" i="5"/>
  <c r="O169" i="5"/>
  <c r="N169" i="5"/>
  <c r="AB168" i="5"/>
  <c r="AA168" i="5"/>
  <c r="T168" i="5"/>
  <c r="O168" i="5"/>
  <c r="N168" i="5"/>
  <c r="AB167" i="5"/>
  <c r="AA167" i="5"/>
  <c r="T167" i="5"/>
  <c r="O167" i="5"/>
  <c r="N167" i="5"/>
  <c r="AB166" i="5"/>
  <c r="AA166" i="5"/>
  <c r="T166" i="5"/>
  <c r="O166" i="5"/>
  <c r="N166" i="5"/>
  <c r="AB165" i="5"/>
  <c r="AA165" i="5"/>
  <c r="T165" i="5"/>
  <c r="O165" i="5"/>
  <c r="N165" i="5"/>
  <c r="AB164" i="5"/>
  <c r="AA164" i="5"/>
  <c r="T164" i="5"/>
  <c r="O164" i="5"/>
  <c r="N164" i="5"/>
  <c r="AB163" i="5"/>
  <c r="AA163" i="5"/>
  <c r="T163" i="5"/>
  <c r="O163" i="5"/>
  <c r="N163" i="5"/>
  <c r="AB162" i="5"/>
  <c r="AA162" i="5"/>
  <c r="T162" i="5"/>
  <c r="O162" i="5"/>
  <c r="N162" i="5"/>
  <c r="AB161" i="5"/>
  <c r="AA161" i="5"/>
  <c r="T161" i="5"/>
  <c r="O161" i="5"/>
  <c r="N161" i="5"/>
  <c r="AB160" i="5"/>
  <c r="AA160" i="5"/>
  <c r="T160" i="5"/>
  <c r="O160" i="5"/>
  <c r="N160" i="5"/>
  <c r="AB159" i="5"/>
  <c r="AA159" i="5"/>
  <c r="T159" i="5"/>
  <c r="O159" i="5"/>
  <c r="N159" i="5"/>
  <c r="AB158" i="5"/>
  <c r="AA158" i="5"/>
  <c r="T158" i="5"/>
  <c r="O158" i="5"/>
  <c r="N158" i="5"/>
  <c r="AB157" i="5"/>
  <c r="AA157" i="5"/>
  <c r="T157" i="5"/>
  <c r="O157" i="5"/>
  <c r="N157" i="5"/>
  <c r="AB156" i="5"/>
  <c r="AA156" i="5"/>
  <c r="Z156" i="5"/>
  <c r="T156" i="5"/>
  <c r="O156" i="5"/>
  <c r="N156" i="5"/>
  <c r="AB155" i="5"/>
  <c r="AA155" i="5"/>
  <c r="T155" i="5"/>
  <c r="O155" i="5"/>
  <c r="N155" i="5"/>
  <c r="AB154" i="5"/>
  <c r="AA154" i="5"/>
  <c r="T154" i="5"/>
  <c r="O154" i="5"/>
  <c r="N154" i="5"/>
  <c r="AB153" i="5"/>
  <c r="AA153" i="5"/>
  <c r="T153" i="5"/>
  <c r="O153" i="5"/>
  <c r="N153" i="5"/>
  <c r="AB152" i="5"/>
  <c r="AA152" i="5"/>
  <c r="T152" i="5"/>
  <c r="O152" i="5"/>
  <c r="N152" i="5"/>
  <c r="AB151" i="5"/>
  <c r="AA151" i="5"/>
  <c r="T151" i="5"/>
  <c r="O151" i="5"/>
  <c r="N151" i="5"/>
  <c r="AB150" i="5"/>
  <c r="AA150" i="5"/>
  <c r="T150" i="5"/>
  <c r="O150" i="5"/>
  <c r="N150" i="5"/>
  <c r="AB149" i="5"/>
  <c r="AA149" i="5"/>
  <c r="Z149" i="5"/>
  <c r="T149" i="5"/>
  <c r="O149" i="5"/>
  <c r="N149" i="5"/>
  <c r="AB148" i="5"/>
  <c r="AA148" i="5"/>
  <c r="T148" i="5"/>
  <c r="O148" i="5"/>
  <c r="N148" i="5"/>
  <c r="AB147" i="5"/>
  <c r="AA147" i="5"/>
  <c r="T147" i="5"/>
  <c r="O147" i="5"/>
  <c r="N147" i="5"/>
  <c r="AB146" i="5"/>
  <c r="AA146" i="5"/>
  <c r="T146" i="5"/>
  <c r="O146" i="5"/>
  <c r="N146" i="5"/>
  <c r="AB145" i="5"/>
  <c r="AA145" i="5"/>
  <c r="T145" i="5"/>
  <c r="O145" i="5"/>
  <c r="N145" i="5"/>
  <c r="AB144" i="5"/>
  <c r="AA144" i="5"/>
  <c r="T144" i="5"/>
  <c r="O144" i="5"/>
  <c r="N144" i="5"/>
  <c r="AB143" i="5"/>
  <c r="AA143" i="5"/>
  <c r="T143" i="5"/>
  <c r="O143" i="5"/>
  <c r="N143" i="5"/>
  <c r="AB142" i="5"/>
  <c r="AA142" i="5"/>
  <c r="T142" i="5"/>
  <c r="O142" i="5"/>
  <c r="N142" i="5"/>
  <c r="AB141" i="5"/>
  <c r="AA141" i="5"/>
  <c r="T141" i="5"/>
  <c r="O141" i="5"/>
  <c r="N141" i="5"/>
  <c r="AB140" i="5"/>
  <c r="AA140" i="5"/>
  <c r="T140" i="5"/>
  <c r="O140" i="5"/>
  <c r="N140" i="5"/>
  <c r="AB139" i="5"/>
  <c r="AA139" i="5"/>
  <c r="T139" i="5"/>
  <c r="O139" i="5"/>
  <c r="N139" i="5"/>
  <c r="AB138" i="5"/>
  <c r="AA138" i="5"/>
  <c r="T138" i="5"/>
  <c r="O138" i="5"/>
  <c r="N138" i="5"/>
  <c r="AB137" i="5"/>
  <c r="AA137" i="5"/>
  <c r="T137" i="5"/>
  <c r="O137" i="5"/>
  <c r="N137" i="5"/>
  <c r="AB136" i="5"/>
  <c r="AA136" i="5"/>
  <c r="T136" i="5"/>
  <c r="O136" i="5"/>
  <c r="N136" i="5"/>
  <c r="AB135" i="5"/>
  <c r="AA135" i="5"/>
  <c r="T135" i="5"/>
  <c r="O135" i="5"/>
  <c r="N135" i="5"/>
  <c r="AB134" i="5"/>
  <c r="AA134" i="5"/>
  <c r="T134" i="5"/>
  <c r="O134" i="5"/>
  <c r="N134" i="5"/>
  <c r="AB133" i="5"/>
  <c r="AA133" i="5"/>
  <c r="U133" i="5"/>
  <c r="T133" i="5"/>
  <c r="O133" i="5"/>
  <c r="N133" i="5"/>
  <c r="AB132" i="5"/>
  <c r="AA132" i="5"/>
  <c r="T132" i="5"/>
  <c r="O132" i="5"/>
  <c r="N132" i="5"/>
  <c r="AB131" i="5"/>
  <c r="AA131" i="5"/>
  <c r="T131" i="5"/>
  <c r="O131" i="5"/>
  <c r="N131" i="5"/>
  <c r="AB130" i="5"/>
  <c r="AA130" i="5"/>
  <c r="T130" i="5"/>
  <c r="O130" i="5"/>
  <c r="N130" i="5"/>
  <c r="AB129" i="5"/>
  <c r="AA129" i="5"/>
  <c r="T129" i="5"/>
  <c r="O129" i="5"/>
  <c r="N129" i="5"/>
  <c r="AB128" i="5"/>
  <c r="AA128" i="5"/>
  <c r="T128" i="5"/>
  <c r="O128" i="5"/>
  <c r="N128" i="5"/>
  <c r="AB127" i="5"/>
  <c r="AA127" i="5"/>
  <c r="T127" i="5"/>
  <c r="O127" i="5"/>
  <c r="N127" i="5"/>
  <c r="AB126" i="5"/>
  <c r="AA126" i="5"/>
  <c r="T126" i="5"/>
  <c r="O126" i="5"/>
  <c r="N126" i="5"/>
  <c r="AB125" i="5"/>
  <c r="AA125" i="5"/>
  <c r="U125" i="5"/>
  <c r="T125" i="5"/>
  <c r="O125" i="5"/>
  <c r="N125" i="5"/>
  <c r="AB124" i="5"/>
  <c r="AA124" i="5"/>
  <c r="T124" i="5"/>
  <c r="O124" i="5"/>
  <c r="N124" i="5"/>
  <c r="AB123" i="5"/>
  <c r="AA123" i="5"/>
  <c r="T123" i="5"/>
  <c r="O123" i="5"/>
  <c r="N123" i="5"/>
  <c r="AB122" i="5"/>
  <c r="AA122" i="5"/>
  <c r="T122" i="5"/>
  <c r="O122" i="5"/>
  <c r="N122" i="5"/>
  <c r="AB121" i="5"/>
  <c r="AA121" i="5"/>
  <c r="T121" i="5"/>
  <c r="O121" i="5"/>
  <c r="N121" i="5"/>
  <c r="AB120" i="5"/>
  <c r="AA120" i="5"/>
  <c r="T120" i="5"/>
  <c r="O120" i="5"/>
  <c r="N120" i="5"/>
  <c r="AB119" i="5"/>
  <c r="AA119" i="5"/>
  <c r="T119" i="5"/>
  <c r="O119" i="5"/>
  <c r="N119" i="5"/>
  <c r="AB118" i="5"/>
  <c r="AA118" i="5"/>
  <c r="T118" i="5"/>
  <c r="O118" i="5"/>
  <c r="N118" i="5"/>
  <c r="AB117" i="5"/>
  <c r="AA117" i="5"/>
  <c r="T117" i="5"/>
  <c r="O117" i="5"/>
  <c r="N117" i="5"/>
  <c r="AB116" i="5"/>
  <c r="AA116" i="5"/>
  <c r="T116" i="5"/>
  <c r="O116" i="5"/>
  <c r="N116" i="5"/>
  <c r="AB115" i="5"/>
  <c r="AA115" i="5"/>
  <c r="T115" i="5"/>
  <c r="O115" i="5"/>
  <c r="N115" i="5"/>
  <c r="AB114" i="5"/>
  <c r="AA114" i="5"/>
  <c r="T114" i="5"/>
  <c r="O114" i="5"/>
  <c r="N114" i="5"/>
  <c r="AB113" i="5"/>
  <c r="AA113" i="5"/>
  <c r="T113" i="5"/>
  <c r="O113" i="5"/>
  <c r="N113" i="5"/>
  <c r="AB112" i="5"/>
  <c r="AA112" i="5"/>
  <c r="T112" i="5"/>
  <c r="O112" i="5"/>
  <c r="N112" i="5"/>
  <c r="AB111" i="5"/>
  <c r="AA111" i="5"/>
  <c r="T111" i="5"/>
  <c r="O111" i="5"/>
  <c r="N111" i="5"/>
  <c r="AB110" i="5"/>
  <c r="AA110" i="5"/>
  <c r="T110" i="5"/>
  <c r="O110" i="5"/>
  <c r="N110" i="5"/>
  <c r="AB109" i="5"/>
  <c r="AA109" i="5"/>
  <c r="T109" i="5"/>
  <c r="O109" i="5"/>
  <c r="N109" i="5"/>
  <c r="AB108" i="5"/>
  <c r="AA108" i="5"/>
  <c r="T108" i="5"/>
  <c r="O108" i="5"/>
  <c r="N108" i="5"/>
  <c r="AB107" i="5"/>
  <c r="AA107" i="5"/>
  <c r="T107" i="5"/>
  <c r="O107" i="5"/>
  <c r="N107" i="5"/>
  <c r="AB106" i="5"/>
  <c r="AA106" i="5"/>
  <c r="T106" i="5"/>
  <c r="O106" i="5"/>
  <c r="N106" i="5"/>
  <c r="AB105" i="5"/>
  <c r="AA105" i="5"/>
  <c r="T105" i="5"/>
  <c r="O105" i="5"/>
  <c r="N105" i="5"/>
  <c r="AB104" i="5"/>
  <c r="AA104" i="5"/>
  <c r="T104" i="5"/>
  <c r="O104" i="5"/>
  <c r="N104" i="5"/>
  <c r="AB103" i="5"/>
  <c r="AA103" i="5"/>
  <c r="T103" i="5"/>
  <c r="O103" i="5"/>
  <c r="N103" i="5"/>
  <c r="AB102" i="5"/>
  <c r="AA102" i="5"/>
  <c r="T102" i="5"/>
  <c r="O102" i="5"/>
  <c r="N102" i="5"/>
  <c r="AB101" i="5"/>
  <c r="AA101" i="5"/>
  <c r="T101" i="5"/>
  <c r="O101" i="5"/>
  <c r="N101" i="5"/>
  <c r="AB100" i="5"/>
  <c r="AA100" i="5"/>
  <c r="T100" i="5"/>
  <c r="O100" i="5"/>
  <c r="N100" i="5"/>
  <c r="AB99" i="5"/>
  <c r="AA99" i="5"/>
  <c r="T99" i="5"/>
  <c r="O99" i="5"/>
  <c r="N99" i="5"/>
  <c r="AB98" i="5"/>
  <c r="AA98" i="5"/>
  <c r="T98" i="5"/>
  <c r="O98" i="5"/>
  <c r="N98" i="5"/>
  <c r="AB97" i="5"/>
  <c r="AA97" i="5"/>
  <c r="T97" i="5"/>
  <c r="O97" i="5"/>
  <c r="N97" i="5"/>
  <c r="AB96" i="5"/>
  <c r="AA96" i="5"/>
  <c r="T96" i="5"/>
  <c r="O96" i="5"/>
  <c r="N96" i="5"/>
  <c r="AB95" i="5"/>
  <c r="AA95" i="5"/>
  <c r="T95" i="5"/>
  <c r="O95" i="5"/>
  <c r="N95" i="5"/>
  <c r="AB94" i="5"/>
  <c r="AA94" i="5"/>
  <c r="T94" i="5"/>
  <c r="O94" i="5"/>
  <c r="N94" i="5"/>
  <c r="AB93" i="5"/>
  <c r="AA93" i="5"/>
  <c r="T93" i="5"/>
  <c r="O93" i="5"/>
  <c r="N93" i="5"/>
  <c r="AB92" i="5"/>
  <c r="AA92" i="5"/>
  <c r="T92" i="5"/>
  <c r="O92" i="5"/>
  <c r="N92" i="5"/>
  <c r="AB91" i="5"/>
  <c r="AA91" i="5"/>
  <c r="T91" i="5"/>
  <c r="O91" i="5"/>
  <c r="N91" i="5"/>
  <c r="AB90" i="5"/>
  <c r="AA90" i="5"/>
  <c r="T90" i="5"/>
  <c r="O90" i="5"/>
  <c r="N90" i="5"/>
  <c r="AB89" i="5"/>
  <c r="AA89" i="5"/>
  <c r="T89" i="5"/>
  <c r="O89" i="5"/>
  <c r="N89" i="5"/>
  <c r="AB88" i="5"/>
  <c r="AA88" i="5"/>
  <c r="T88" i="5"/>
  <c r="O88" i="5"/>
  <c r="N88" i="5"/>
  <c r="AB87" i="5"/>
  <c r="AA87" i="5"/>
  <c r="T87" i="5"/>
  <c r="O87" i="5"/>
  <c r="N87" i="5"/>
  <c r="AB86" i="5"/>
  <c r="AA86" i="5"/>
  <c r="T86" i="5"/>
  <c r="O86" i="5"/>
  <c r="N86" i="5"/>
  <c r="AB85" i="5"/>
  <c r="AA85" i="5"/>
  <c r="T85" i="5"/>
  <c r="O85" i="5"/>
  <c r="N85" i="5"/>
  <c r="AB84" i="5"/>
  <c r="AA84" i="5"/>
  <c r="T84" i="5"/>
  <c r="O84" i="5"/>
  <c r="N84" i="5"/>
  <c r="AB83" i="5"/>
  <c r="AA83" i="5"/>
  <c r="T83" i="5"/>
  <c r="O83" i="5"/>
  <c r="N83" i="5"/>
  <c r="AB82" i="5"/>
  <c r="AA82" i="5"/>
  <c r="T82" i="5"/>
  <c r="O82" i="5"/>
  <c r="N82" i="5"/>
  <c r="AB81" i="5"/>
  <c r="AA81" i="5"/>
  <c r="T81" i="5"/>
  <c r="O81" i="5"/>
  <c r="N81" i="5"/>
  <c r="AB80" i="5"/>
  <c r="AA80" i="5"/>
  <c r="T80" i="5"/>
  <c r="O80" i="5"/>
  <c r="N80" i="5"/>
  <c r="AB79" i="5"/>
  <c r="AA79" i="5"/>
  <c r="T79" i="5"/>
  <c r="O79" i="5"/>
  <c r="N79" i="5"/>
  <c r="AB78" i="5"/>
  <c r="AA78" i="5"/>
  <c r="T78" i="5"/>
  <c r="O78" i="5"/>
  <c r="N78" i="5"/>
  <c r="AB77" i="5"/>
  <c r="AA77" i="5"/>
  <c r="T77" i="5"/>
  <c r="O77" i="5"/>
  <c r="N77" i="5"/>
  <c r="AB76" i="5"/>
  <c r="AA76" i="5"/>
  <c r="T76" i="5"/>
  <c r="O76" i="5"/>
  <c r="N76" i="5"/>
  <c r="AB75" i="5"/>
  <c r="AA75" i="5"/>
  <c r="T75" i="5"/>
  <c r="O75" i="5"/>
  <c r="N75" i="5"/>
  <c r="AB74" i="5"/>
  <c r="AA74" i="5"/>
  <c r="T74" i="5"/>
  <c r="O74" i="5"/>
  <c r="N74" i="5"/>
  <c r="AB73" i="5"/>
  <c r="AA73" i="5"/>
  <c r="T73" i="5"/>
  <c r="O73" i="5"/>
  <c r="N73" i="5"/>
  <c r="AB72" i="5"/>
  <c r="AA72" i="5"/>
  <c r="T72" i="5"/>
  <c r="O72" i="5"/>
  <c r="N72" i="5"/>
  <c r="AB71" i="5"/>
  <c r="AA71" i="5"/>
  <c r="T71" i="5"/>
  <c r="O71" i="5"/>
  <c r="N71" i="5"/>
  <c r="AB70" i="5"/>
  <c r="AA70" i="5"/>
  <c r="T70" i="5"/>
  <c r="O70" i="5"/>
  <c r="N70" i="5"/>
  <c r="AB69" i="5"/>
  <c r="AA69" i="5"/>
  <c r="T69" i="5"/>
  <c r="O69" i="5"/>
  <c r="N69" i="5"/>
  <c r="AB68" i="5"/>
  <c r="AA68" i="5"/>
  <c r="T68" i="5"/>
  <c r="O68" i="5"/>
  <c r="N68" i="5"/>
  <c r="AB67" i="5"/>
  <c r="AA67" i="5"/>
  <c r="T67" i="5"/>
  <c r="O67" i="5"/>
  <c r="N67" i="5"/>
  <c r="AB66" i="5"/>
  <c r="AA66" i="5"/>
  <c r="T66" i="5"/>
  <c r="O66" i="5"/>
  <c r="N66" i="5"/>
  <c r="AB65" i="5"/>
  <c r="AA65" i="5"/>
  <c r="T65" i="5"/>
  <c r="O65" i="5"/>
  <c r="N65" i="5"/>
  <c r="AB64" i="5"/>
  <c r="AA64" i="5"/>
  <c r="T64" i="5"/>
  <c r="O64" i="5"/>
  <c r="N64" i="5"/>
  <c r="AB63" i="5"/>
  <c r="AA63" i="5"/>
  <c r="T63" i="5"/>
  <c r="O63" i="5"/>
  <c r="N63" i="5"/>
  <c r="AB62" i="5"/>
  <c r="AA62" i="5"/>
  <c r="T62" i="5"/>
  <c r="O62" i="5"/>
  <c r="N62" i="5"/>
  <c r="AB61" i="5"/>
  <c r="AA61" i="5"/>
  <c r="T61" i="5"/>
  <c r="O61" i="5"/>
  <c r="N61" i="5"/>
  <c r="AB60" i="5"/>
  <c r="AA60" i="5"/>
  <c r="T60" i="5"/>
  <c r="O60" i="5"/>
  <c r="N60" i="5"/>
  <c r="AB59" i="5"/>
  <c r="AA59" i="5"/>
  <c r="T59" i="5"/>
  <c r="O59" i="5"/>
  <c r="N59" i="5"/>
  <c r="AB58" i="5"/>
  <c r="AA58" i="5"/>
  <c r="T58" i="5"/>
  <c r="O58" i="5"/>
  <c r="N58" i="5"/>
  <c r="AB57" i="5"/>
  <c r="AA57" i="5"/>
  <c r="T57" i="5"/>
  <c r="O57" i="5"/>
  <c r="N57" i="5"/>
  <c r="AB56" i="5"/>
  <c r="AA56" i="5"/>
  <c r="T56" i="5"/>
  <c r="O56" i="5"/>
  <c r="N56" i="5"/>
  <c r="AB55" i="5"/>
  <c r="AA55" i="5"/>
  <c r="Z55" i="5"/>
  <c r="U55" i="5"/>
  <c r="T55" i="5"/>
  <c r="O55" i="5"/>
  <c r="N55" i="5"/>
  <c r="AB54" i="5"/>
  <c r="AA54" i="5"/>
  <c r="T54" i="5"/>
  <c r="O54" i="5"/>
  <c r="N54" i="5"/>
  <c r="AB53" i="5"/>
  <c r="AA53" i="5"/>
  <c r="T53" i="5"/>
  <c r="O53" i="5"/>
  <c r="N53" i="5"/>
  <c r="AB52" i="5"/>
  <c r="AA52" i="5"/>
  <c r="T52" i="5"/>
  <c r="O52" i="5"/>
  <c r="N52" i="5"/>
  <c r="AB51" i="5"/>
  <c r="AA51" i="5"/>
  <c r="T51" i="5"/>
  <c r="O51" i="5"/>
  <c r="N51" i="5"/>
  <c r="AB50" i="5"/>
  <c r="AA50" i="5"/>
  <c r="T50" i="5"/>
  <c r="O50" i="5"/>
  <c r="N50" i="5"/>
  <c r="AB49" i="5"/>
  <c r="AA49" i="5"/>
  <c r="T49" i="5"/>
  <c r="O49" i="5"/>
  <c r="N49" i="5"/>
  <c r="AB48" i="5"/>
  <c r="AA48" i="5"/>
  <c r="T48" i="5"/>
  <c r="O48" i="5"/>
  <c r="N48" i="5"/>
  <c r="AB47" i="5"/>
  <c r="AA47" i="5"/>
  <c r="T47" i="5"/>
  <c r="O47" i="5"/>
  <c r="N47" i="5"/>
  <c r="AB46" i="5"/>
  <c r="AA46" i="5"/>
  <c r="T46" i="5"/>
  <c r="O46" i="5"/>
  <c r="N46" i="5"/>
  <c r="AB45" i="5"/>
  <c r="AA45" i="5"/>
  <c r="T45" i="5"/>
  <c r="O45" i="5"/>
  <c r="N45" i="5"/>
  <c r="AB44" i="5"/>
  <c r="AA44" i="5"/>
  <c r="T44" i="5"/>
  <c r="O44" i="5"/>
  <c r="N44" i="5"/>
  <c r="AB43" i="5"/>
  <c r="AA43" i="5"/>
  <c r="T43" i="5"/>
  <c r="O43" i="5"/>
  <c r="N43" i="5"/>
  <c r="AB42" i="5"/>
  <c r="AA42" i="5"/>
  <c r="T42" i="5"/>
  <c r="O42" i="5"/>
  <c r="N42" i="5"/>
  <c r="AB41" i="5"/>
  <c r="AA41" i="5"/>
  <c r="T41" i="5"/>
  <c r="O41" i="5"/>
  <c r="N41" i="5"/>
  <c r="AB40" i="5"/>
  <c r="AA40" i="5"/>
  <c r="T40" i="5"/>
  <c r="O40" i="5"/>
  <c r="N40" i="5"/>
  <c r="AB39" i="5"/>
  <c r="AA39" i="5"/>
  <c r="T39" i="5"/>
  <c r="O39" i="5"/>
  <c r="N39" i="5"/>
  <c r="AB38" i="5"/>
  <c r="AA38" i="5"/>
  <c r="T38" i="5"/>
  <c r="O38" i="5"/>
  <c r="N38" i="5"/>
  <c r="AB37" i="5"/>
  <c r="AA37" i="5"/>
  <c r="T37" i="5"/>
  <c r="O37" i="5"/>
  <c r="N37" i="5"/>
  <c r="AB36" i="5"/>
  <c r="AA36" i="5"/>
  <c r="T36" i="5"/>
  <c r="O36" i="5"/>
  <c r="N36" i="5"/>
  <c r="AB35" i="5"/>
  <c r="AA35" i="5"/>
  <c r="T35" i="5"/>
  <c r="O35" i="5"/>
  <c r="N35" i="5"/>
  <c r="AB34" i="5"/>
  <c r="AA34" i="5"/>
  <c r="T34" i="5"/>
  <c r="O34" i="5"/>
  <c r="N34" i="5"/>
  <c r="AB33" i="5"/>
  <c r="AA33" i="5"/>
  <c r="T33" i="5"/>
  <c r="O33" i="5"/>
  <c r="N33" i="5"/>
  <c r="AB32" i="5"/>
  <c r="AA32" i="5"/>
  <c r="T32" i="5"/>
  <c r="O32" i="5"/>
  <c r="N32" i="5"/>
  <c r="AB31" i="5"/>
  <c r="AA31" i="5"/>
  <c r="T31" i="5"/>
  <c r="O31" i="5"/>
  <c r="N31" i="5"/>
  <c r="AB30" i="5"/>
  <c r="AA30" i="5"/>
  <c r="T30" i="5"/>
  <c r="O30" i="5"/>
  <c r="N30" i="5"/>
  <c r="AB29" i="5"/>
  <c r="AA29" i="5"/>
  <c r="T29" i="5"/>
  <c r="O29" i="5"/>
  <c r="N29" i="5"/>
  <c r="AB28" i="5"/>
  <c r="AA28" i="5"/>
  <c r="T28" i="5"/>
  <c r="O28" i="5"/>
  <c r="N28" i="5"/>
  <c r="AB27" i="5"/>
  <c r="AA27" i="5"/>
  <c r="T27" i="5"/>
  <c r="O27" i="5"/>
  <c r="N27" i="5"/>
  <c r="AB26" i="5"/>
  <c r="AA26" i="5"/>
  <c r="T26" i="5"/>
  <c r="O26" i="5"/>
  <c r="N26" i="5"/>
  <c r="AB25" i="5"/>
  <c r="AA25" i="5"/>
  <c r="T25" i="5"/>
  <c r="O25" i="5"/>
  <c r="N25" i="5"/>
  <c r="AB24" i="5"/>
  <c r="AA24" i="5"/>
  <c r="T24" i="5"/>
  <c r="O24" i="5"/>
  <c r="N24" i="5"/>
  <c r="AB23" i="5"/>
  <c r="AA23" i="5"/>
  <c r="T23" i="5"/>
  <c r="O23" i="5"/>
  <c r="N23" i="5"/>
  <c r="AB22" i="5"/>
  <c r="AA22" i="5"/>
  <c r="T22" i="5"/>
  <c r="O22" i="5"/>
  <c r="N22" i="5"/>
  <c r="AB21" i="5"/>
  <c r="AA21" i="5"/>
  <c r="T21" i="5"/>
  <c r="O21" i="5"/>
  <c r="N21" i="5"/>
  <c r="AB20" i="5"/>
  <c r="AA20" i="5"/>
  <c r="T20" i="5"/>
  <c r="O20" i="5"/>
  <c r="N20" i="5"/>
  <c r="AB19" i="5"/>
  <c r="AA19" i="5"/>
  <c r="T19" i="5"/>
  <c r="O19" i="5"/>
  <c r="N19" i="5"/>
  <c r="AB18" i="5"/>
  <c r="AA18" i="5"/>
  <c r="T18" i="5"/>
  <c r="O18" i="5"/>
  <c r="N18" i="5"/>
  <c r="AB17" i="5"/>
  <c r="AA17" i="5"/>
  <c r="T17" i="5"/>
  <c r="O17" i="5"/>
  <c r="N17" i="5"/>
  <c r="AB16" i="5"/>
  <c r="AA16" i="5"/>
  <c r="T16" i="5"/>
  <c r="O16" i="5"/>
  <c r="N16" i="5"/>
  <c r="AB15" i="5"/>
  <c r="AA15" i="5"/>
  <c r="T15" i="5"/>
  <c r="O15" i="5"/>
  <c r="N15" i="5"/>
  <c r="AB14" i="5"/>
  <c r="AA14" i="5"/>
  <c r="T14" i="5"/>
  <c r="O14" i="5"/>
  <c r="N14" i="5"/>
  <c r="AB13" i="5"/>
  <c r="AA13" i="5"/>
  <c r="T13" i="5"/>
  <c r="O13" i="5"/>
  <c r="N13" i="5"/>
  <c r="AB12" i="5"/>
  <c r="AA12" i="5"/>
  <c r="T12" i="5"/>
  <c r="O12" i="5"/>
  <c r="N12" i="5"/>
  <c r="AB11" i="5"/>
  <c r="AA11" i="5"/>
  <c r="T11" i="5"/>
  <c r="O11" i="5"/>
  <c r="N11" i="5"/>
  <c r="AB10" i="5"/>
  <c r="AA10" i="5"/>
  <c r="T10" i="5"/>
  <c r="O10" i="5"/>
  <c r="N10" i="5"/>
  <c r="AB9" i="5"/>
  <c r="AA9" i="5"/>
  <c r="T9" i="5"/>
  <c r="O9" i="5"/>
  <c r="N9" i="5"/>
  <c r="AB8" i="5"/>
  <c r="AA8" i="5"/>
  <c r="T8" i="5"/>
  <c r="O8" i="5"/>
  <c r="N8" i="5"/>
  <c r="AB7" i="5"/>
  <c r="AA7" i="5"/>
  <c r="T7" i="5"/>
  <c r="O7" i="5"/>
  <c r="N7" i="5"/>
  <c r="AB6" i="5"/>
  <c r="AA6" i="5"/>
  <c r="T6" i="5"/>
  <c r="O6" i="5"/>
  <c r="N6" i="5"/>
  <c r="AB5" i="5"/>
  <c r="AA5" i="5"/>
  <c r="T5" i="5"/>
  <c r="O5" i="5"/>
  <c r="N5" i="5"/>
  <c r="AB4" i="5"/>
  <c r="AA4" i="5"/>
  <c r="T4" i="5"/>
  <c r="O4" i="5"/>
  <c r="N4" i="5"/>
  <c r="AB3" i="5"/>
  <c r="AA3" i="5"/>
  <c r="T3" i="5"/>
  <c r="O3" i="5"/>
  <c r="N3" i="5"/>
  <c r="AB2" i="5"/>
  <c r="AA2" i="5"/>
  <c r="T2" i="5"/>
  <c r="O2" i="5"/>
  <c r="N2" i="5"/>
  <c r="Z203" i="1"/>
  <c r="X203" i="1"/>
  <c r="T203" i="1"/>
  <c r="S203" i="1"/>
  <c r="R203" i="1"/>
  <c r="A203" i="1"/>
  <c r="Z202" i="1"/>
  <c r="X202" i="1"/>
  <c r="T202" i="1"/>
  <c r="S202" i="1"/>
  <c r="R202" i="1"/>
  <c r="A202" i="1"/>
  <c r="Z201" i="1"/>
  <c r="X201" i="1"/>
  <c r="T201" i="1"/>
  <c r="S201" i="1"/>
  <c r="R201" i="1"/>
  <c r="A201" i="1"/>
  <c r="Z200" i="1"/>
  <c r="X200" i="1"/>
  <c r="T200" i="1"/>
  <c r="S200" i="1"/>
  <c r="R200" i="1"/>
  <c r="A200" i="1"/>
  <c r="Z199" i="1"/>
  <c r="X199" i="1"/>
  <c r="T199" i="1"/>
  <c r="S199" i="1"/>
  <c r="R199" i="1"/>
  <c r="A199" i="1"/>
  <c r="Z198" i="1"/>
  <c r="X198" i="1"/>
  <c r="T198" i="1"/>
  <c r="S198" i="1"/>
  <c r="R198" i="1"/>
  <c r="A198" i="1"/>
  <c r="Z197" i="1"/>
  <c r="X197" i="1"/>
  <c r="T197" i="1"/>
  <c r="S197" i="1"/>
  <c r="R197" i="1"/>
  <c r="A197" i="1"/>
  <c r="Z196" i="1"/>
  <c r="X196" i="1"/>
  <c r="T196" i="1"/>
  <c r="S196" i="1"/>
  <c r="R196" i="1"/>
  <c r="A196" i="1"/>
  <c r="Z195" i="1"/>
  <c r="X195" i="1"/>
  <c r="T195" i="1"/>
  <c r="S195" i="1"/>
  <c r="R195" i="1"/>
  <c r="A195" i="1"/>
  <c r="Z194" i="1"/>
  <c r="X194" i="1"/>
  <c r="T194" i="1"/>
  <c r="S194" i="1"/>
  <c r="R194" i="1"/>
  <c r="A194" i="1"/>
  <c r="Z193" i="1"/>
  <c r="X193" i="1"/>
  <c r="T193" i="1"/>
  <c r="S193" i="1"/>
  <c r="R193" i="1"/>
  <c r="A193" i="1"/>
  <c r="Z192" i="1"/>
  <c r="X192" i="1"/>
  <c r="T192" i="1"/>
  <c r="S192" i="1"/>
  <c r="R192" i="1"/>
  <c r="A192" i="1"/>
  <c r="Z191" i="1"/>
  <c r="X191" i="1"/>
  <c r="T191" i="1"/>
  <c r="S191" i="1"/>
  <c r="R191" i="1"/>
  <c r="A191" i="1"/>
  <c r="Z190" i="1"/>
  <c r="X190" i="1"/>
  <c r="T190" i="1"/>
  <c r="S190" i="1"/>
  <c r="R190" i="1"/>
  <c r="A190" i="1"/>
  <c r="Z189" i="1"/>
  <c r="X189" i="1"/>
  <c r="T189" i="1"/>
  <c r="S189" i="1"/>
  <c r="R189" i="1"/>
  <c r="A189" i="1"/>
  <c r="Z188" i="1"/>
  <c r="X188" i="1"/>
  <c r="T188" i="1"/>
  <c r="S188" i="1"/>
  <c r="R188" i="1"/>
  <c r="A188" i="1"/>
  <c r="Z187" i="1"/>
  <c r="X187" i="1"/>
  <c r="T187" i="1"/>
  <c r="S187" i="1"/>
  <c r="R187" i="1"/>
  <c r="A187" i="1"/>
  <c r="Z186" i="1"/>
  <c r="X186" i="1"/>
  <c r="T186" i="1"/>
  <c r="S186" i="1"/>
  <c r="R186" i="1"/>
  <c r="A186" i="1"/>
  <c r="Z185" i="1"/>
  <c r="X185" i="1"/>
  <c r="T185" i="1"/>
  <c r="S185" i="1"/>
  <c r="R185" i="1"/>
  <c r="A185" i="1"/>
  <c r="Z184" i="1"/>
  <c r="X184" i="1"/>
  <c r="T184" i="1"/>
  <c r="S184" i="1"/>
  <c r="R184" i="1"/>
  <c r="A184" i="1"/>
  <c r="Z183" i="1"/>
  <c r="X183" i="1"/>
  <c r="T183" i="1"/>
  <c r="S183" i="1"/>
  <c r="R183" i="1"/>
  <c r="A183" i="1"/>
  <c r="Z182" i="1"/>
  <c r="X182" i="1"/>
  <c r="T182" i="1"/>
  <c r="S182" i="1"/>
  <c r="R182" i="1"/>
  <c r="A182" i="1"/>
  <c r="Z181" i="1"/>
  <c r="X181" i="1"/>
  <c r="T181" i="1"/>
  <c r="S181" i="1"/>
  <c r="R181" i="1"/>
  <c r="A181" i="1"/>
  <c r="Z180" i="1"/>
  <c r="X180" i="1"/>
  <c r="T180" i="1"/>
  <c r="S180" i="1"/>
  <c r="R180" i="1"/>
  <c r="A180" i="1"/>
  <c r="Z179" i="1"/>
  <c r="X179" i="1"/>
  <c r="T179" i="1"/>
  <c r="S179" i="1"/>
  <c r="R179" i="1"/>
  <c r="A179" i="1"/>
  <c r="Z178" i="1"/>
  <c r="X178" i="1"/>
  <c r="T178" i="1"/>
  <c r="S178" i="1"/>
  <c r="R178" i="1"/>
  <c r="A178" i="1"/>
  <c r="Z177" i="1"/>
  <c r="X177" i="1"/>
  <c r="T177" i="1"/>
  <c r="S177" i="1"/>
  <c r="R177" i="1"/>
  <c r="A177" i="1"/>
  <c r="Z176" i="1"/>
  <c r="X176" i="1"/>
  <c r="T176" i="1"/>
  <c r="S176" i="1"/>
  <c r="R176" i="1"/>
  <c r="A176" i="1"/>
  <c r="Z175" i="1"/>
  <c r="X175" i="1"/>
  <c r="T175" i="1"/>
  <c r="S175" i="1"/>
  <c r="R175" i="1"/>
  <c r="A175" i="1"/>
  <c r="Z174" i="1"/>
  <c r="X174" i="1"/>
  <c r="T174" i="1"/>
  <c r="S174" i="1"/>
  <c r="R174" i="1"/>
  <c r="A174" i="1"/>
  <c r="Z173" i="1"/>
  <c r="X173" i="1"/>
  <c r="T173" i="1"/>
  <c r="S173" i="1"/>
  <c r="R173" i="1"/>
  <c r="A173" i="1"/>
  <c r="Z172" i="1"/>
  <c r="X172" i="1"/>
  <c r="T172" i="1"/>
  <c r="S172" i="1"/>
  <c r="R172" i="1"/>
  <c r="A172" i="1"/>
  <c r="Z171" i="1"/>
  <c r="X171" i="1"/>
  <c r="T171" i="1"/>
  <c r="S171" i="1"/>
  <c r="R171" i="1"/>
  <c r="A171" i="1"/>
  <c r="Z170" i="1"/>
  <c r="X170" i="1"/>
  <c r="T170" i="1"/>
  <c r="S170" i="1"/>
  <c r="R170" i="1"/>
  <c r="A170" i="1"/>
  <c r="Z169" i="1"/>
  <c r="X169" i="1"/>
  <c r="T169" i="1"/>
  <c r="S169" i="1"/>
  <c r="R169" i="1"/>
  <c r="A169" i="1"/>
  <c r="Z168" i="1"/>
  <c r="X168" i="1"/>
  <c r="T168" i="1"/>
  <c r="S168" i="1"/>
  <c r="R168" i="1"/>
  <c r="A168" i="1"/>
  <c r="Z167" i="1"/>
  <c r="X167" i="1"/>
  <c r="T167" i="1"/>
  <c r="S167" i="1"/>
  <c r="R167" i="1"/>
  <c r="A167" i="1"/>
  <c r="Z166" i="1"/>
  <c r="X166" i="1"/>
  <c r="T166" i="1"/>
  <c r="S166" i="1"/>
  <c r="R166" i="1"/>
  <c r="A166" i="1"/>
  <c r="Z165" i="1"/>
  <c r="X165" i="1"/>
  <c r="T165" i="1"/>
  <c r="S165" i="1"/>
  <c r="R165" i="1"/>
  <c r="A165" i="1"/>
  <c r="Z164" i="1"/>
  <c r="X164" i="1"/>
  <c r="T164" i="1"/>
  <c r="S164" i="1"/>
  <c r="R164" i="1"/>
  <c r="A164" i="1"/>
  <c r="Z163" i="1"/>
  <c r="X163" i="1"/>
  <c r="T163" i="1"/>
  <c r="S163" i="1"/>
  <c r="R163" i="1"/>
  <c r="A163" i="1"/>
  <c r="Z162" i="1"/>
  <c r="X162" i="1"/>
  <c r="T162" i="1"/>
  <c r="S162" i="1"/>
  <c r="R162" i="1"/>
  <c r="A162" i="1"/>
  <c r="Z161" i="1"/>
  <c r="X161" i="1"/>
  <c r="T161" i="1"/>
  <c r="S161" i="1"/>
  <c r="R161" i="1"/>
  <c r="A161" i="1"/>
  <c r="Z160" i="1"/>
  <c r="X160" i="1"/>
  <c r="T160" i="1"/>
  <c r="S160" i="1"/>
  <c r="R160" i="1"/>
  <c r="A160" i="1"/>
  <c r="Z159" i="1"/>
  <c r="X159" i="1"/>
  <c r="T159" i="1"/>
  <c r="S159" i="1"/>
  <c r="R159" i="1"/>
  <c r="A159" i="1"/>
  <c r="Z158" i="1"/>
  <c r="X158" i="1"/>
  <c r="T158" i="1"/>
  <c r="S158" i="1"/>
  <c r="R158" i="1"/>
  <c r="A158" i="1"/>
  <c r="Z157" i="1"/>
  <c r="X157" i="1"/>
  <c r="T157" i="1"/>
  <c r="S157" i="1"/>
  <c r="R157" i="1"/>
  <c r="A157" i="1"/>
  <c r="Z156" i="1"/>
  <c r="X156" i="1"/>
  <c r="T156" i="1"/>
  <c r="S156" i="1"/>
  <c r="R156" i="1"/>
  <c r="A156" i="1"/>
  <c r="Z155" i="1"/>
  <c r="X155" i="1"/>
  <c r="T155" i="1"/>
  <c r="S155" i="1"/>
  <c r="R155" i="1"/>
  <c r="A155" i="1"/>
  <c r="Z154" i="1"/>
  <c r="X154" i="1"/>
  <c r="T154" i="1"/>
  <c r="S154" i="1"/>
  <c r="R154" i="1"/>
  <c r="A154" i="1"/>
  <c r="Z153" i="1"/>
  <c r="X153" i="1"/>
  <c r="T153" i="1"/>
  <c r="S153" i="1"/>
  <c r="R153" i="1"/>
  <c r="A153" i="1"/>
  <c r="Z152" i="1"/>
  <c r="X152" i="1"/>
  <c r="T152" i="1"/>
  <c r="S152" i="1"/>
  <c r="R152" i="1"/>
  <c r="A152" i="1"/>
  <c r="Z151" i="1"/>
  <c r="X151" i="1"/>
  <c r="T151" i="1"/>
  <c r="S151" i="1"/>
  <c r="R151" i="1"/>
  <c r="A151" i="1"/>
  <c r="Z150" i="1"/>
  <c r="X150" i="1"/>
  <c r="T150" i="1"/>
  <c r="S150" i="1"/>
  <c r="R150" i="1"/>
  <c r="A150" i="1"/>
  <c r="AA149" i="1"/>
  <c r="Z149" i="1"/>
  <c r="X149" i="1"/>
  <c r="T149" i="1"/>
  <c r="S149" i="1"/>
  <c r="R149" i="1"/>
  <c r="A149" i="1"/>
  <c r="Z148" i="1"/>
  <c r="X148" i="1"/>
  <c r="T148" i="1"/>
  <c r="S148" i="1"/>
  <c r="R148" i="1"/>
  <c r="A148" i="1"/>
  <c r="Z147" i="1"/>
  <c r="X147" i="1"/>
  <c r="T147" i="1"/>
  <c r="S147" i="1"/>
  <c r="R147" i="1"/>
  <c r="A147" i="1"/>
  <c r="Z146" i="1"/>
  <c r="X146" i="1"/>
  <c r="T146" i="1"/>
  <c r="S146" i="1"/>
  <c r="R146" i="1"/>
  <c r="A146" i="1"/>
  <c r="Z145" i="1"/>
  <c r="X145" i="1"/>
  <c r="T145" i="1"/>
  <c r="S145" i="1"/>
  <c r="R145" i="1"/>
  <c r="A145" i="1"/>
  <c r="Z144" i="1"/>
  <c r="X144" i="1"/>
  <c r="T144" i="1"/>
  <c r="S144" i="1"/>
  <c r="R144" i="1"/>
  <c r="A144" i="1"/>
  <c r="Z143" i="1"/>
  <c r="X143" i="1"/>
  <c r="T143" i="1"/>
  <c r="S143" i="1"/>
  <c r="R143" i="1"/>
  <c r="A143" i="1"/>
  <c r="Z142" i="1"/>
  <c r="X142" i="1"/>
  <c r="T142" i="1"/>
  <c r="S142" i="1"/>
  <c r="R142" i="1"/>
  <c r="A142" i="1"/>
  <c r="Z141" i="1"/>
  <c r="X141" i="1"/>
  <c r="T141" i="1"/>
  <c r="S141" i="1"/>
  <c r="R141" i="1"/>
  <c r="A141" i="1"/>
  <c r="Z140" i="1"/>
  <c r="X140" i="1"/>
  <c r="T140" i="1"/>
  <c r="S140" i="1"/>
  <c r="R140" i="1"/>
  <c r="A140" i="1"/>
  <c r="Z139" i="1"/>
  <c r="X139" i="1"/>
  <c r="T139" i="1"/>
  <c r="S139" i="1"/>
  <c r="R139" i="1"/>
  <c r="A139" i="1"/>
  <c r="Z138" i="1"/>
  <c r="X138" i="1"/>
  <c r="T138" i="1"/>
  <c r="S138" i="1"/>
  <c r="R138" i="1"/>
  <c r="A138" i="1"/>
  <c r="Z137" i="1"/>
  <c r="X137" i="1"/>
  <c r="T137" i="1"/>
  <c r="S137" i="1"/>
  <c r="R137" i="1"/>
  <c r="A137" i="1"/>
  <c r="Z136" i="1"/>
  <c r="X136" i="1"/>
  <c r="T136" i="1"/>
  <c r="S136" i="1"/>
  <c r="R136" i="1"/>
  <c r="A136" i="1"/>
  <c r="Z135" i="1"/>
  <c r="X135" i="1"/>
  <c r="T135" i="1"/>
  <c r="S135" i="1"/>
  <c r="R135" i="1"/>
  <c r="A135" i="1"/>
  <c r="Z134" i="1"/>
  <c r="X134" i="1"/>
  <c r="T134" i="1"/>
  <c r="S134" i="1"/>
  <c r="R134" i="1"/>
  <c r="A134" i="1"/>
  <c r="Z133" i="1"/>
  <c r="X133" i="1"/>
  <c r="T133" i="1"/>
  <c r="S133" i="1"/>
  <c r="R133" i="1"/>
  <c r="A133" i="1"/>
  <c r="Z132" i="1"/>
  <c r="X132" i="1"/>
  <c r="T132" i="1"/>
  <c r="S132" i="1"/>
  <c r="R132" i="1"/>
  <c r="A132" i="1"/>
  <c r="Z131" i="1"/>
  <c r="X131" i="1"/>
  <c r="T131" i="1"/>
  <c r="S131" i="1"/>
  <c r="R131" i="1"/>
  <c r="A131" i="1"/>
  <c r="Z130" i="1"/>
  <c r="X130" i="1"/>
  <c r="T130" i="1"/>
  <c r="S130" i="1"/>
  <c r="R130" i="1"/>
  <c r="A130" i="1"/>
  <c r="Z129" i="1"/>
  <c r="X129" i="1"/>
  <c r="T129" i="1"/>
  <c r="S129" i="1"/>
  <c r="R129" i="1"/>
  <c r="A129" i="1"/>
  <c r="Z128" i="1"/>
  <c r="X128" i="1"/>
  <c r="T128" i="1"/>
  <c r="S128" i="1"/>
  <c r="R128" i="1"/>
  <c r="A128" i="1"/>
  <c r="Z127" i="1"/>
  <c r="X127" i="1"/>
  <c r="T127" i="1"/>
  <c r="S127" i="1"/>
  <c r="R127" i="1"/>
  <c r="A127" i="1"/>
  <c r="Z126" i="1"/>
  <c r="X126" i="1"/>
  <c r="T126" i="1"/>
  <c r="S126" i="1"/>
  <c r="R126" i="1"/>
  <c r="A126" i="1"/>
  <c r="Z125" i="1"/>
  <c r="X125" i="1"/>
  <c r="T125" i="1"/>
  <c r="S125" i="1"/>
  <c r="R125" i="1"/>
  <c r="A125" i="1"/>
  <c r="Z124" i="1"/>
  <c r="X124" i="1"/>
  <c r="T124" i="1"/>
  <c r="S124" i="1"/>
  <c r="R124" i="1"/>
  <c r="A124" i="1"/>
  <c r="Z123" i="1"/>
  <c r="X123" i="1"/>
  <c r="T123" i="1"/>
  <c r="S123" i="1"/>
  <c r="R123" i="1"/>
  <c r="A123" i="1"/>
  <c r="Z122" i="1"/>
  <c r="X122" i="1"/>
  <c r="T122" i="1"/>
  <c r="S122" i="1"/>
  <c r="R122" i="1"/>
  <c r="A122" i="1"/>
  <c r="Z121" i="1"/>
  <c r="X121" i="1"/>
  <c r="T121" i="1"/>
  <c r="S121" i="1"/>
  <c r="R121" i="1"/>
  <c r="A121" i="1"/>
  <c r="Z120" i="1"/>
  <c r="X120" i="1"/>
  <c r="T120" i="1"/>
  <c r="S120" i="1"/>
  <c r="R120" i="1"/>
  <c r="A120" i="1"/>
  <c r="Z119" i="1"/>
  <c r="X119" i="1"/>
  <c r="T119" i="1"/>
  <c r="S119" i="1"/>
  <c r="R119" i="1"/>
  <c r="A119" i="1"/>
  <c r="Z118" i="1"/>
  <c r="X118" i="1"/>
  <c r="T118" i="1"/>
  <c r="S118" i="1"/>
  <c r="R118" i="1"/>
  <c r="A118" i="1"/>
  <c r="Z117" i="1"/>
  <c r="X117" i="1"/>
  <c r="T117" i="1"/>
  <c r="S117" i="1"/>
  <c r="R117" i="1"/>
  <c r="A117" i="1"/>
  <c r="Z116" i="1"/>
  <c r="X116" i="1"/>
  <c r="T116" i="1"/>
  <c r="S116" i="1"/>
  <c r="R116" i="1"/>
  <c r="A116" i="1"/>
  <c r="Z115" i="1"/>
  <c r="X115" i="1"/>
  <c r="T115" i="1"/>
  <c r="S115" i="1"/>
  <c r="R115" i="1"/>
  <c r="A115" i="1"/>
  <c r="Z114" i="1"/>
  <c r="X114" i="1"/>
  <c r="T114" i="1"/>
  <c r="S114" i="1"/>
  <c r="R114" i="1"/>
  <c r="A114" i="1"/>
  <c r="Z113" i="1"/>
  <c r="X113" i="1"/>
  <c r="T113" i="1"/>
  <c r="S113" i="1"/>
  <c r="R113" i="1"/>
  <c r="A113" i="1"/>
  <c r="Z112" i="1"/>
  <c r="X112" i="1"/>
  <c r="T112" i="1"/>
  <c r="S112" i="1"/>
  <c r="R112" i="1"/>
  <c r="A112" i="1"/>
  <c r="Z111" i="1"/>
  <c r="X111" i="1"/>
  <c r="T111" i="1"/>
  <c r="S111" i="1"/>
  <c r="R111" i="1"/>
  <c r="A111" i="1"/>
  <c r="Z110" i="1"/>
  <c r="X110" i="1"/>
  <c r="T110" i="1"/>
  <c r="S110" i="1"/>
  <c r="R110" i="1"/>
  <c r="A110" i="1"/>
  <c r="Z109" i="1"/>
  <c r="X109" i="1"/>
  <c r="T109" i="1"/>
  <c r="S109" i="1"/>
  <c r="R109" i="1"/>
  <c r="A109" i="1"/>
  <c r="Z108" i="1"/>
  <c r="X108" i="1"/>
  <c r="T108" i="1"/>
  <c r="S108" i="1"/>
  <c r="R108" i="1"/>
  <c r="A108" i="1"/>
  <c r="Z107" i="1"/>
  <c r="X107" i="1"/>
  <c r="T107" i="1"/>
  <c r="S107" i="1"/>
  <c r="R107" i="1"/>
  <c r="A107" i="1"/>
  <c r="Z106" i="1"/>
  <c r="X106" i="1"/>
  <c r="T106" i="1"/>
  <c r="S106" i="1"/>
  <c r="R106" i="1"/>
  <c r="A106" i="1"/>
  <c r="Z105" i="1"/>
  <c r="X105" i="1"/>
  <c r="T105" i="1"/>
  <c r="S105" i="1"/>
  <c r="R105" i="1"/>
  <c r="A105" i="1"/>
  <c r="Z104" i="1"/>
  <c r="X104" i="1"/>
  <c r="T104" i="1"/>
  <c r="S104" i="1"/>
  <c r="R104" i="1"/>
  <c r="A104" i="1"/>
  <c r="Z103" i="1"/>
  <c r="X103" i="1"/>
  <c r="T103" i="1"/>
  <c r="S103" i="1"/>
  <c r="R103" i="1"/>
  <c r="A103" i="1"/>
  <c r="Z102" i="1"/>
  <c r="X102" i="1"/>
  <c r="T102" i="1"/>
  <c r="S102" i="1"/>
  <c r="R102" i="1"/>
  <c r="A102" i="1"/>
  <c r="Z101" i="1"/>
  <c r="X101" i="1"/>
  <c r="T101" i="1"/>
  <c r="S101" i="1"/>
  <c r="R101" i="1"/>
  <c r="A101" i="1"/>
  <c r="Z100" i="1"/>
  <c r="X100" i="1"/>
  <c r="T100" i="1"/>
  <c r="S100" i="1"/>
  <c r="R100" i="1"/>
  <c r="A100" i="1"/>
  <c r="Z99" i="1"/>
  <c r="X99" i="1"/>
  <c r="T99" i="1"/>
  <c r="S99" i="1"/>
  <c r="R99" i="1"/>
  <c r="A99" i="1"/>
  <c r="Z98" i="1"/>
  <c r="X98" i="1"/>
  <c r="T98" i="1"/>
  <c r="S98" i="1"/>
  <c r="R98" i="1"/>
  <c r="A98" i="1"/>
  <c r="Z97" i="1"/>
  <c r="X97" i="1"/>
  <c r="T97" i="1"/>
  <c r="S97" i="1"/>
  <c r="R97" i="1"/>
  <c r="A97" i="1"/>
  <c r="Z96" i="1"/>
  <c r="X96" i="1"/>
  <c r="T96" i="1"/>
  <c r="S96" i="1"/>
  <c r="R96" i="1"/>
  <c r="A96" i="1"/>
  <c r="Z95" i="1"/>
  <c r="X95" i="1"/>
  <c r="T95" i="1"/>
  <c r="S95" i="1"/>
  <c r="R95" i="1"/>
  <c r="A95" i="1"/>
  <c r="Z94" i="1"/>
  <c r="X94" i="1"/>
  <c r="T94" i="1"/>
  <c r="S94" i="1"/>
  <c r="R94" i="1"/>
  <c r="A94" i="1"/>
  <c r="Z93" i="1"/>
  <c r="X93" i="1"/>
  <c r="T93" i="1"/>
  <c r="S93" i="1"/>
  <c r="R93" i="1"/>
  <c r="A93" i="1"/>
  <c r="Z92" i="1"/>
  <c r="X92" i="1"/>
  <c r="T92" i="1"/>
  <c r="S92" i="1"/>
  <c r="R92" i="1"/>
  <c r="A92" i="1"/>
  <c r="Z91" i="1"/>
  <c r="X91" i="1"/>
  <c r="T91" i="1"/>
  <c r="S91" i="1"/>
  <c r="R91" i="1"/>
  <c r="A91" i="1"/>
  <c r="Z90" i="1"/>
  <c r="X90" i="1"/>
  <c r="T90" i="1"/>
  <c r="S90" i="1"/>
  <c r="R90" i="1"/>
  <c r="A90" i="1"/>
  <c r="Z89" i="1"/>
  <c r="X89" i="1"/>
  <c r="T89" i="1"/>
  <c r="S89" i="1"/>
  <c r="R89" i="1"/>
  <c r="A89" i="1"/>
  <c r="Z88" i="1"/>
  <c r="X88" i="1"/>
  <c r="T88" i="1"/>
  <c r="S88" i="1"/>
  <c r="R88" i="1"/>
  <c r="A88" i="1"/>
  <c r="Z87" i="1"/>
  <c r="X87" i="1"/>
  <c r="T87" i="1"/>
  <c r="S87" i="1"/>
  <c r="R87" i="1"/>
  <c r="A87" i="1"/>
  <c r="Z86" i="1"/>
  <c r="X86" i="1"/>
  <c r="T86" i="1"/>
  <c r="S86" i="1"/>
  <c r="R86" i="1"/>
  <c r="A86" i="1"/>
  <c r="Z85" i="1"/>
  <c r="X85" i="1"/>
  <c r="T85" i="1"/>
  <c r="S85" i="1"/>
  <c r="R85" i="1"/>
  <c r="A85" i="1"/>
  <c r="Z84" i="1"/>
  <c r="X84" i="1"/>
  <c r="T84" i="1"/>
  <c r="S84" i="1"/>
  <c r="R84" i="1"/>
  <c r="A84" i="1"/>
  <c r="Z83" i="1"/>
  <c r="X83" i="1"/>
  <c r="T83" i="1"/>
  <c r="S83" i="1"/>
  <c r="R83" i="1"/>
  <c r="A83" i="1"/>
  <c r="Z82" i="1"/>
  <c r="X82" i="1"/>
  <c r="T82" i="1"/>
  <c r="S82" i="1"/>
  <c r="R82" i="1"/>
  <c r="A82" i="1"/>
  <c r="Z81" i="1"/>
  <c r="X81" i="1"/>
  <c r="T81" i="1"/>
  <c r="S81" i="1"/>
  <c r="R81" i="1"/>
  <c r="A81" i="1"/>
  <c r="Z80" i="1"/>
  <c r="X80" i="1"/>
  <c r="T80" i="1"/>
  <c r="S80" i="1"/>
  <c r="R80" i="1"/>
  <c r="A80" i="1"/>
  <c r="Z79" i="1"/>
  <c r="X79" i="1"/>
  <c r="T79" i="1"/>
  <c r="S79" i="1"/>
  <c r="R79" i="1"/>
  <c r="A79" i="1"/>
  <c r="Z78" i="1"/>
  <c r="X78" i="1"/>
  <c r="T78" i="1"/>
  <c r="S78" i="1"/>
  <c r="R78" i="1"/>
  <c r="A78" i="1"/>
  <c r="Z77" i="1"/>
  <c r="X77" i="1"/>
  <c r="T77" i="1"/>
  <c r="S77" i="1"/>
  <c r="R77" i="1"/>
  <c r="A77" i="1"/>
  <c r="Z76" i="1"/>
  <c r="X76" i="1"/>
  <c r="T76" i="1"/>
  <c r="S76" i="1"/>
  <c r="R76" i="1"/>
  <c r="A76" i="1"/>
  <c r="Z75" i="1"/>
  <c r="X75" i="1"/>
  <c r="T75" i="1"/>
  <c r="S75" i="1"/>
  <c r="R75" i="1"/>
  <c r="A75" i="1"/>
  <c r="Z74" i="1"/>
  <c r="X74" i="1"/>
  <c r="T74" i="1"/>
  <c r="S74" i="1"/>
  <c r="R74" i="1"/>
  <c r="A74" i="1"/>
  <c r="Z73" i="1"/>
  <c r="X73" i="1"/>
  <c r="T73" i="1"/>
  <c r="S73" i="1"/>
  <c r="R73" i="1"/>
  <c r="A73" i="1"/>
  <c r="Z72" i="1"/>
  <c r="X72" i="1"/>
  <c r="T72" i="1"/>
  <c r="S72" i="1"/>
  <c r="R72" i="1"/>
  <c r="A72" i="1"/>
  <c r="Z71" i="1"/>
  <c r="X71" i="1"/>
  <c r="T71" i="1"/>
  <c r="S71" i="1"/>
  <c r="R71" i="1"/>
  <c r="A71" i="1"/>
  <c r="Z70" i="1"/>
  <c r="X70" i="1"/>
  <c r="T70" i="1"/>
  <c r="S70" i="1"/>
  <c r="R70" i="1"/>
  <c r="A70" i="1"/>
  <c r="Z69" i="1"/>
  <c r="X69" i="1"/>
  <c r="T69" i="1"/>
  <c r="S69" i="1"/>
  <c r="R69" i="1"/>
  <c r="A69" i="1"/>
  <c r="Z68" i="1"/>
  <c r="X68" i="1"/>
  <c r="T68" i="1"/>
  <c r="S68" i="1"/>
  <c r="R68" i="1"/>
  <c r="A68" i="1"/>
  <c r="Z67" i="1"/>
  <c r="X67" i="1"/>
  <c r="T67" i="1"/>
  <c r="S67" i="1"/>
  <c r="R67" i="1"/>
  <c r="A67" i="1"/>
  <c r="Z66" i="1"/>
  <c r="X66" i="1"/>
  <c r="T66" i="1"/>
  <c r="S66" i="1"/>
  <c r="R66" i="1"/>
  <c r="A66" i="1"/>
  <c r="Z65" i="1"/>
  <c r="X65" i="1"/>
  <c r="T65" i="1"/>
  <c r="S65" i="1"/>
  <c r="R65" i="1"/>
  <c r="A65" i="1"/>
  <c r="AA64" i="1"/>
  <c r="Z64" i="1"/>
  <c r="X64" i="1"/>
  <c r="W64" i="1"/>
  <c r="T64" i="1"/>
  <c r="S64" i="1"/>
  <c r="R64" i="1"/>
  <c r="A64" i="1"/>
  <c r="Z63" i="1"/>
  <c r="X63" i="1"/>
  <c r="T63" i="1"/>
  <c r="S63" i="1"/>
  <c r="R63" i="1"/>
  <c r="A63" i="1"/>
  <c r="Z62" i="1"/>
  <c r="X62" i="1"/>
  <c r="T62" i="1"/>
  <c r="S62" i="1"/>
  <c r="R62" i="1"/>
  <c r="A62" i="1"/>
  <c r="Z61" i="1"/>
  <c r="X61" i="1"/>
  <c r="T61" i="1"/>
  <c r="S61" i="1"/>
  <c r="R61" i="1"/>
  <c r="A61" i="1"/>
  <c r="Z60" i="1"/>
  <c r="X60" i="1"/>
  <c r="T60" i="1"/>
  <c r="S60" i="1"/>
  <c r="R60" i="1"/>
  <c r="A60" i="1"/>
  <c r="Z59" i="1"/>
  <c r="X59" i="1"/>
  <c r="T59" i="1"/>
  <c r="S59" i="1"/>
  <c r="R59" i="1"/>
  <c r="A59" i="1"/>
  <c r="Z58" i="1"/>
  <c r="X58" i="1"/>
  <c r="T58" i="1"/>
  <c r="S58" i="1"/>
  <c r="R58" i="1"/>
  <c r="A58" i="1"/>
  <c r="Z57" i="1"/>
  <c r="X57" i="1"/>
  <c r="T57" i="1"/>
  <c r="S57" i="1"/>
  <c r="R57" i="1"/>
  <c r="A57" i="1"/>
  <c r="Z56" i="1"/>
  <c r="X56" i="1"/>
  <c r="T56" i="1"/>
  <c r="S56" i="1"/>
  <c r="R56" i="1"/>
  <c r="A56" i="1"/>
  <c r="Z55" i="1"/>
  <c r="X55" i="1"/>
  <c r="T55" i="1"/>
  <c r="S55" i="1"/>
  <c r="R55" i="1"/>
  <c r="A55" i="1"/>
  <c r="Z54" i="1"/>
  <c r="X54" i="1"/>
  <c r="T54" i="1"/>
  <c r="S54" i="1"/>
  <c r="R54" i="1"/>
  <c r="A54" i="1"/>
  <c r="Z53" i="1"/>
  <c r="X53" i="1"/>
  <c r="T53" i="1"/>
  <c r="S53" i="1"/>
  <c r="R53" i="1"/>
  <c r="A53" i="1"/>
  <c r="Z52" i="1"/>
  <c r="X52" i="1"/>
  <c r="T52" i="1"/>
  <c r="S52" i="1"/>
  <c r="R52" i="1"/>
  <c r="A52" i="1"/>
  <c r="Z51" i="1"/>
  <c r="X51" i="1"/>
  <c r="T51" i="1"/>
  <c r="S51" i="1"/>
  <c r="R51" i="1"/>
  <c r="A51" i="1"/>
  <c r="Z50" i="1"/>
  <c r="X50" i="1"/>
  <c r="T50" i="1"/>
  <c r="S50" i="1"/>
  <c r="R50" i="1"/>
  <c r="A50" i="1"/>
  <c r="Z49" i="1"/>
  <c r="X49" i="1"/>
  <c r="T49" i="1"/>
  <c r="S49" i="1"/>
  <c r="R49" i="1"/>
  <c r="A49" i="1"/>
  <c r="Z48" i="1"/>
  <c r="X48" i="1"/>
  <c r="T48" i="1"/>
  <c r="S48" i="1"/>
  <c r="R48" i="1"/>
  <c r="A48" i="1"/>
  <c r="Z47" i="1"/>
  <c r="X47" i="1"/>
  <c r="T47" i="1"/>
  <c r="S47" i="1"/>
  <c r="R47" i="1"/>
  <c r="A47" i="1"/>
  <c r="Z46" i="1"/>
  <c r="X46" i="1"/>
  <c r="T46" i="1"/>
  <c r="S46" i="1"/>
  <c r="R46" i="1"/>
  <c r="A46" i="1"/>
  <c r="Z45" i="1"/>
  <c r="X45" i="1"/>
  <c r="T45" i="1"/>
  <c r="S45" i="1"/>
  <c r="R45" i="1"/>
  <c r="A45" i="1"/>
  <c r="Z44" i="1"/>
  <c r="X44" i="1"/>
  <c r="T44" i="1"/>
  <c r="S44" i="1"/>
  <c r="R44" i="1"/>
  <c r="A44" i="1"/>
  <c r="Z43" i="1"/>
  <c r="X43" i="1"/>
  <c r="T43" i="1"/>
  <c r="S43" i="1"/>
  <c r="R43" i="1"/>
  <c r="A43" i="1"/>
  <c r="Z42" i="1"/>
  <c r="X42" i="1"/>
  <c r="T42" i="1"/>
  <c r="S42" i="1"/>
  <c r="R42" i="1"/>
  <c r="A42" i="1"/>
  <c r="Z41" i="1"/>
  <c r="X41" i="1"/>
  <c r="T41" i="1"/>
  <c r="S41" i="1"/>
  <c r="R41" i="1"/>
  <c r="A41" i="1"/>
  <c r="Z40" i="1"/>
  <c r="X40" i="1"/>
  <c r="T40" i="1"/>
  <c r="S40" i="1"/>
  <c r="R40" i="1"/>
  <c r="A40" i="1"/>
  <c r="Z39" i="1"/>
  <c r="X39" i="1"/>
  <c r="T39" i="1"/>
  <c r="S39" i="1"/>
  <c r="R39" i="1"/>
  <c r="A39" i="1"/>
  <c r="Z38" i="1"/>
  <c r="X38" i="1"/>
  <c r="T38" i="1"/>
  <c r="S38" i="1"/>
  <c r="R38" i="1"/>
  <c r="A38" i="1"/>
  <c r="Z37" i="1"/>
  <c r="X37" i="1"/>
  <c r="T37" i="1"/>
  <c r="S37" i="1"/>
  <c r="R37" i="1"/>
  <c r="A37" i="1"/>
  <c r="Z36" i="1"/>
  <c r="X36" i="1"/>
  <c r="T36" i="1"/>
  <c r="S36" i="1"/>
  <c r="R36" i="1"/>
  <c r="A36" i="1"/>
  <c r="Z35" i="1"/>
  <c r="X35" i="1"/>
  <c r="T35" i="1"/>
  <c r="S35" i="1"/>
  <c r="R35" i="1"/>
  <c r="A35" i="1"/>
  <c r="Z34" i="1"/>
  <c r="X34" i="1"/>
  <c r="T34" i="1"/>
  <c r="S34" i="1"/>
  <c r="R34" i="1"/>
  <c r="A34" i="1"/>
  <c r="Z33" i="1"/>
  <c r="X33" i="1"/>
  <c r="T33" i="1"/>
  <c r="S33" i="1"/>
  <c r="R33" i="1"/>
  <c r="A33" i="1"/>
  <c r="Z32" i="1"/>
  <c r="X32" i="1"/>
  <c r="T32" i="1"/>
  <c r="S32" i="1"/>
  <c r="R32" i="1"/>
  <c r="A32" i="1"/>
  <c r="Z31" i="1"/>
  <c r="X31" i="1"/>
  <c r="T31" i="1"/>
  <c r="S31" i="1"/>
  <c r="R31" i="1"/>
  <c r="A31" i="1"/>
  <c r="Z30" i="1"/>
  <c r="X30" i="1"/>
  <c r="T30" i="1"/>
  <c r="S30" i="1"/>
  <c r="R30" i="1"/>
  <c r="A30" i="1"/>
  <c r="Z29" i="1"/>
  <c r="X29" i="1"/>
  <c r="T29" i="1"/>
  <c r="S29" i="1"/>
  <c r="R29" i="1"/>
  <c r="A29" i="1"/>
  <c r="Z28" i="1"/>
  <c r="X28" i="1"/>
  <c r="T28" i="1"/>
  <c r="S28" i="1"/>
  <c r="R28" i="1"/>
  <c r="A28" i="1"/>
  <c r="Z27" i="1"/>
  <c r="X27" i="1"/>
  <c r="T27" i="1"/>
  <c r="S27" i="1"/>
  <c r="R27" i="1"/>
  <c r="A27" i="1"/>
  <c r="Z26" i="1"/>
  <c r="X26" i="1"/>
  <c r="T26" i="1"/>
  <c r="S26" i="1"/>
  <c r="R26" i="1"/>
  <c r="A26" i="1"/>
  <c r="Z25" i="1"/>
  <c r="X25" i="1"/>
  <c r="T25" i="1"/>
  <c r="S25" i="1"/>
  <c r="R25" i="1"/>
  <c r="A25" i="1"/>
  <c r="Z24" i="1"/>
  <c r="X24" i="1"/>
  <c r="T24" i="1"/>
  <c r="S24" i="1"/>
  <c r="R24" i="1"/>
  <c r="A24" i="1"/>
  <c r="Z23" i="1"/>
  <c r="X23" i="1"/>
  <c r="T23" i="1"/>
  <c r="S23" i="1"/>
  <c r="R23" i="1"/>
  <c r="A23" i="1"/>
  <c r="Z22" i="1"/>
  <c r="X22" i="1"/>
  <c r="T22" i="1"/>
  <c r="S22" i="1"/>
  <c r="R22" i="1"/>
  <c r="A22" i="1"/>
  <c r="Z21" i="1"/>
  <c r="X21" i="1"/>
  <c r="T21" i="1"/>
  <c r="S21" i="1"/>
  <c r="R21" i="1"/>
  <c r="A21" i="1"/>
  <c r="Z20" i="1"/>
  <c r="X20" i="1"/>
  <c r="T20" i="1"/>
  <c r="S20" i="1"/>
  <c r="R20" i="1"/>
  <c r="A20" i="1"/>
  <c r="Z19" i="1"/>
  <c r="X19" i="1"/>
  <c r="T19" i="1"/>
  <c r="S19" i="1"/>
  <c r="R19" i="1"/>
  <c r="A19" i="1"/>
  <c r="Z18" i="1"/>
  <c r="X18" i="1"/>
  <c r="T18" i="1"/>
  <c r="S18" i="1"/>
  <c r="R18" i="1"/>
  <c r="A18" i="1"/>
  <c r="Z17" i="1"/>
  <c r="X17" i="1"/>
  <c r="T17" i="1"/>
  <c r="S17" i="1"/>
  <c r="R17" i="1"/>
  <c r="A17" i="1"/>
  <c r="Z16" i="1"/>
  <c r="X16" i="1"/>
  <c r="T16" i="1"/>
  <c r="S16" i="1"/>
  <c r="R16" i="1"/>
  <c r="A16" i="1"/>
  <c r="Z15" i="1"/>
  <c r="X15" i="1"/>
  <c r="T15" i="1"/>
  <c r="S15" i="1"/>
  <c r="R15" i="1"/>
  <c r="A15" i="1"/>
  <c r="Z14" i="1"/>
  <c r="X14" i="1"/>
  <c r="T14" i="1"/>
  <c r="S14" i="1"/>
  <c r="R14" i="1"/>
  <c r="A14" i="1"/>
  <c r="Z13" i="1"/>
  <c r="X13" i="1"/>
  <c r="T13" i="1"/>
  <c r="S13" i="1"/>
  <c r="R13" i="1"/>
  <c r="A13" i="1"/>
  <c r="Z12" i="1"/>
  <c r="X12" i="1"/>
  <c r="T12" i="1"/>
  <c r="S12" i="1"/>
  <c r="R12" i="1"/>
  <c r="A12" i="1"/>
  <c r="Z11" i="1"/>
  <c r="X11" i="1"/>
  <c r="T11" i="1"/>
  <c r="S11" i="1"/>
  <c r="R11" i="1"/>
  <c r="A11" i="1"/>
  <c r="Z10" i="1"/>
  <c r="X10" i="1"/>
  <c r="T10" i="1"/>
  <c r="S10" i="1"/>
  <c r="R10" i="1"/>
  <c r="A10" i="1"/>
  <c r="Z9" i="1"/>
  <c r="X9" i="1"/>
  <c r="T9" i="1"/>
  <c r="S9" i="1"/>
  <c r="R9" i="1"/>
  <c r="A9" i="1"/>
  <c r="Z8" i="1"/>
  <c r="X8" i="1"/>
  <c r="T8" i="1"/>
  <c r="S8" i="1"/>
  <c r="R8" i="1"/>
  <c r="A8" i="1"/>
  <c r="Z7" i="1"/>
  <c r="X7" i="1"/>
  <c r="T7" i="1"/>
  <c r="S7" i="1"/>
  <c r="R7" i="1"/>
  <c r="A7" i="1"/>
  <c r="Z6" i="1"/>
  <c r="X6" i="1"/>
  <c r="T6" i="1"/>
  <c r="S6" i="1"/>
  <c r="R6" i="1"/>
  <c r="A6" i="1"/>
  <c r="Z5" i="1"/>
  <c r="X5" i="1"/>
  <c r="T5" i="1"/>
  <c r="S5" i="1"/>
  <c r="R5" i="1"/>
  <c r="A5" i="1"/>
  <c r="Z4" i="1"/>
  <c r="X4" i="1"/>
  <c r="T4" i="1"/>
  <c r="S4" i="1"/>
  <c r="R4" i="1"/>
  <c r="A4" i="1"/>
  <c r="Z201" i="5" l="1"/>
  <c r="U201" i="5"/>
  <c r="Z200" i="5"/>
  <c r="U200" i="5"/>
  <c r="Z199" i="5"/>
  <c r="U199" i="5"/>
  <c r="Z198" i="5"/>
  <c r="U198" i="5"/>
  <c r="Z197" i="5"/>
  <c r="U197" i="5"/>
  <c r="Z196" i="5"/>
  <c r="U196" i="5"/>
  <c r="Z195" i="5"/>
  <c r="U195" i="5"/>
  <c r="Z194" i="5"/>
  <c r="U194" i="5"/>
  <c r="Z193" i="5"/>
  <c r="U193" i="5"/>
  <c r="Z192" i="5"/>
  <c r="U192" i="5"/>
  <c r="Z191" i="5"/>
  <c r="U191" i="5"/>
  <c r="Z190" i="5"/>
  <c r="U190" i="5"/>
  <c r="Z189" i="5"/>
  <c r="U189" i="5"/>
  <c r="Z188" i="5"/>
  <c r="U188" i="5"/>
  <c r="Z187" i="5"/>
  <c r="U187" i="5"/>
  <c r="Z186" i="5"/>
  <c r="U186" i="5"/>
  <c r="Z185" i="5"/>
  <c r="Z184" i="5"/>
  <c r="U184" i="5"/>
  <c r="Z183" i="5"/>
  <c r="U183" i="5"/>
  <c r="Z182" i="5"/>
  <c r="Z179" i="5"/>
  <c r="U179" i="5"/>
  <c r="Z177" i="5"/>
  <c r="U177" i="5"/>
  <c r="Z176" i="5"/>
  <c r="U176" i="5"/>
  <c r="U175" i="5"/>
  <c r="Z171" i="5"/>
  <c r="U170" i="5"/>
  <c r="U163" i="5"/>
  <c r="U161" i="5"/>
  <c r="Z160" i="5"/>
  <c r="Z159" i="5"/>
  <c r="U159" i="5"/>
  <c r="Z158" i="5"/>
  <c r="U158" i="5"/>
  <c r="Z157" i="5"/>
  <c r="U157" i="5"/>
  <c r="U155" i="5"/>
  <c r="Z152" i="5"/>
  <c r="U152" i="5"/>
  <c r="Z150" i="5"/>
  <c r="U149" i="5"/>
  <c r="Z148" i="5"/>
  <c r="U148" i="5"/>
  <c r="Z147" i="5"/>
  <c r="U147" i="5"/>
  <c r="U144" i="5"/>
  <c r="Z143" i="5"/>
  <c r="Z142" i="5"/>
  <c r="U142" i="5"/>
  <c r="Z141" i="5"/>
  <c r="Z139" i="5"/>
  <c r="U139" i="5"/>
  <c r="U138" i="5"/>
  <c r="Z137" i="5"/>
  <c r="Z136" i="5"/>
  <c r="U134" i="5"/>
  <c r="U130" i="5"/>
  <c r="U128" i="5"/>
  <c r="Z127" i="5"/>
  <c r="U127" i="5"/>
  <c r="U126" i="5"/>
  <c r="Z124" i="5"/>
  <c r="U123" i="5"/>
  <c r="U121" i="5"/>
  <c r="U120" i="5"/>
  <c r="Z118" i="5"/>
  <c r="U117" i="5"/>
  <c r="Z116" i="5"/>
  <c r="Z114" i="5"/>
  <c r="Z111" i="5"/>
  <c r="U111" i="5"/>
  <c r="Z110" i="5"/>
  <c r="Z107" i="5"/>
  <c r="U106" i="5"/>
  <c r="U104" i="5"/>
  <c r="U103" i="5"/>
  <c r="U101" i="5"/>
  <c r="U100" i="5"/>
  <c r="U97" i="5"/>
  <c r="Z96" i="5"/>
  <c r="Z95" i="5"/>
  <c r="U95" i="5"/>
  <c r="Z93" i="5"/>
  <c r="U93" i="5"/>
  <c r="U92" i="5"/>
  <c r="Z90" i="5"/>
  <c r="U86" i="5"/>
  <c r="Z85" i="5"/>
  <c r="Z84" i="5"/>
  <c r="U83" i="5"/>
  <c r="Z82" i="5"/>
  <c r="U82" i="5"/>
  <c r="Z81" i="5"/>
  <c r="U80" i="5"/>
  <c r="U79" i="5"/>
  <c r="Z78" i="5"/>
  <c r="Z77" i="5"/>
  <c r="Z76" i="5"/>
  <c r="U76" i="5"/>
  <c r="Z75" i="5"/>
  <c r="U75" i="5"/>
  <c r="Z74" i="5"/>
  <c r="Z73" i="5"/>
  <c r="Z72" i="5"/>
  <c r="U72" i="5"/>
  <c r="Z71" i="5"/>
  <c r="U71" i="5"/>
  <c r="U69" i="5"/>
  <c r="Z65" i="5"/>
  <c r="Z64" i="5"/>
  <c r="U63" i="5"/>
  <c r="U62" i="5"/>
  <c r="Z61" i="5"/>
  <c r="U61" i="5"/>
  <c r="Z60" i="5"/>
  <c r="U60" i="5"/>
  <c r="Z59" i="5"/>
  <c r="Z58" i="5"/>
  <c r="Z57" i="5"/>
  <c r="W160" i="1"/>
  <c r="AB158" i="1"/>
  <c r="AD158" i="1" s="1"/>
  <c r="W158" i="1"/>
  <c r="W157" i="1"/>
  <c r="Y155" i="1"/>
  <c r="AC153" i="1"/>
  <c r="AA153" i="1"/>
  <c r="Y153" i="1"/>
  <c r="AA152" i="1"/>
  <c r="Y151" i="1"/>
  <c r="W151" i="1"/>
  <c r="AB149" i="1"/>
  <c r="AD149" i="1" s="1"/>
  <c r="AC69" i="1"/>
  <c r="W69" i="1"/>
  <c r="AB68" i="1"/>
  <c r="AD68" i="1" s="1"/>
  <c r="AB67" i="1"/>
  <c r="AD67" i="1" s="1"/>
  <c r="AA67" i="1"/>
  <c r="Y40" i="1"/>
  <c r="AB39" i="1"/>
  <c r="AD39" i="1" s="1"/>
  <c r="AA39" i="1"/>
  <c r="W39" i="1"/>
  <c r="W37" i="1"/>
  <c r="AC36" i="1"/>
  <c r="AA36" i="1"/>
  <c r="AA35" i="1"/>
  <c r="AB33" i="1"/>
  <c r="AD33" i="1" s="1"/>
  <c r="AC31" i="1"/>
  <c r="Y31" i="1"/>
  <c r="AA30" i="1"/>
  <c r="AB28" i="1"/>
  <c r="AD28" i="1" s="1"/>
  <c r="AA28" i="1"/>
  <c r="AA27" i="1"/>
  <c r="Y26" i="1"/>
  <c r="W26" i="1"/>
  <c r="AA24" i="1"/>
  <c r="W24" i="1"/>
  <c r="AC22" i="1"/>
  <c r="AB22" i="1"/>
  <c r="AD22" i="1" s="1"/>
  <c r="AC20" i="1"/>
  <c r="AA18" i="1"/>
  <c r="AC9" i="1"/>
  <c r="AA7" i="1"/>
  <c r="AC6" i="1"/>
  <c r="AB6" i="1"/>
  <c r="AD6" i="1" s="1"/>
  <c r="Y6" i="1"/>
  <c r="Y5" i="1"/>
  <c r="AB4" i="1"/>
  <c r="AD4" i="1" s="1"/>
  <c r="Z54" i="5"/>
  <c r="U54" i="5"/>
  <c r="Z53" i="5"/>
  <c r="U53" i="5"/>
  <c r="Z52" i="5"/>
  <c r="U52" i="5"/>
  <c r="Z51" i="5"/>
  <c r="U51" i="5"/>
  <c r="Z50" i="5"/>
  <c r="U50" i="5"/>
  <c r="Z49" i="5"/>
  <c r="U49" i="5"/>
  <c r="Z48" i="5"/>
  <c r="U48" i="5"/>
  <c r="Z47" i="5"/>
  <c r="U47" i="5"/>
  <c r="Z46" i="5"/>
  <c r="U46" i="5"/>
  <c r="Z45" i="5"/>
  <c r="U45" i="5"/>
  <c r="Z44" i="5"/>
  <c r="U44" i="5"/>
  <c r="Z43" i="5"/>
  <c r="U43" i="5"/>
  <c r="Z42" i="5"/>
  <c r="U42" i="5"/>
  <c r="Z41" i="5"/>
  <c r="U41" i="5"/>
  <c r="Z40" i="5"/>
  <c r="U40" i="5"/>
  <c r="Z39" i="5"/>
  <c r="U39" i="5"/>
  <c r="Z38" i="5"/>
  <c r="U38" i="5"/>
  <c r="Z37" i="5"/>
  <c r="U37" i="5"/>
  <c r="Z36" i="5"/>
  <c r="U36" i="5"/>
  <c r="Z35" i="5"/>
  <c r="U35" i="5"/>
  <c r="Z34" i="5"/>
  <c r="U34" i="5"/>
  <c r="Z33" i="5"/>
  <c r="U33" i="5"/>
  <c r="Z32" i="5"/>
  <c r="U32" i="5"/>
  <c r="Z31" i="5"/>
  <c r="U31" i="5"/>
  <c r="Z30" i="5"/>
  <c r="U30" i="5"/>
  <c r="Z29" i="5"/>
  <c r="U29" i="5"/>
  <c r="Z28" i="5"/>
  <c r="U28" i="5"/>
  <c r="Z27" i="5"/>
  <c r="U27" i="5"/>
  <c r="Z26" i="5"/>
  <c r="U26" i="5"/>
  <c r="Z25" i="5"/>
  <c r="U25" i="5"/>
  <c r="Z24" i="5"/>
  <c r="U24" i="5"/>
  <c r="Z23" i="5"/>
  <c r="U23" i="5"/>
  <c r="Z22" i="5"/>
  <c r="U22" i="5"/>
  <c r="Z21" i="5"/>
  <c r="U21" i="5"/>
  <c r="Z20" i="5"/>
  <c r="U20" i="5"/>
  <c r="Z19" i="5"/>
  <c r="U19" i="5"/>
  <c r="Z18" i="5"/>
  <c r="U18" i="5"/>
  <c r="Z17" i="5"/>
  <c r="U17" i="5"/>
  <c r="Z16" i="5"/>
  <c r="U16" i="5"/>
  <c r="Z15" i="5"/>
  <c r="U15" i="5"/>
  <c r="Z14" i="5"/>
  <c r="U14" i="5"/>
  <c r="Z13" i="5"/>
  <c r="U13" i="5"/>
  <c r="Z12" i="5"/>
  <c r="U12" i="5"/>
  <c r="Z11" i="5"/>
  <c r="U11" i="5"/>
  <c r="Z10" i="5"/>
  <c r="U10" i="5"/>
  <c r="Z9" i="5"/>
  <c r="U9" i="5"/>
  <c r="Z8" i="5"/>
  <c r="U8" i="5"/>
  <c r="Z7" i="5"/>
  <c r="U7" i="5"/>
  <c r="Z6" i="5"/>
  <c r="U6" i="5"/>
  <c r="Z5" i="5"/>
  <c r="U5" i="5"/>
  <c r="Z4" i="5"/>
  <c r="U4" i="5"/>
  <c r="Z3" i="5"/>
  <c r="U3" i="5"/>
  <c r="Z2" i="5"/>
  <c r="U2" i="5"/>
  <c r="AC203" i="1"/>
  <c r="AB203" i="1"/>
  <c r="AD203" i="1" s="1"/>
  <c r="AA203" i="1"/>
  <c r="Y203" i="1"/>
  <c r="W203" i="1"/>
  <c r="AC202" i="1"/>
  <c r="AB202" i="1"/>
  <c r="AD202" i="1" s="1"/>
  <c r="AA202" i="1"/>
  <c r="Y202" i="1"/>
  <c r="W202" i="1"/>
  <c r="AC201" i="1"/>
  <c r="AB201" i="1"/>
  <c r="AD201" i="1" s="1"/>
  <c r="AA201" i="1"/>
  <c r="Y201" i="1"/>
  <c r="W201" i="1"/>
  <c r="AC200" i="1"/>
  <c r="AB200" i="1"/>
  <c r="AD200" i="1" s="1"/>
  <c r="AA200" i="1"/>
  <c r="Y200" i="1"/>
  <c r="W200" i="1"/>
  <c r="AC199" i="1"/>
  <c r="AB199" i="1"/>
  <c r="AD199" i="1" s="1"/>
  <c r="AA199" i="1"/>
  <c r="Y199" i="1"/>
  <c r="W199" i="1"/>
  <c r="AC198" i="1"/>
  <c r="AB198" i="1"/>
  <c r="AD198" i="1" s="1"/>
  <c r="AA198" i="1"/>
  <c r="Y198" i="1"/>
  <c r="W198" i="1"/>
  <c r="AC197" i="1"/>
  <c r="AB197" i="1"/>
  <c r="AD197" i="1" s="1"/>
  <c r="AA197" i="1"/>
  <c r="Y197" i="1"/>
  <c r="W197" i="1"/>
  <c r="AC196" i="1"/>
  <c r="AB196" i="1"/>
  <c r="AD196" i="1" s="1"/>
  <c r="AA196" i="1"/>
  <c r="Y196" i="1"/>
  <c r="W196" i="1"/>
  <c r="AC195" i="1"/>
  <c r="AB195" i="1"/>
  <c r="AD195" i="1" s="1"/>
  <c r="AA195" i="1"/>
  <c r="Y195" i="1"/>
  <c r="W195" i="1"/>
  <c r="AC194" i="1"/>
  <c r="AB194" i="1"/>
  <c r="AD194" i="1" s="1"/>
  <c r="AA194" i="1"/>
  <c r="Y194" i="1"/>
  <c r="W194" i="1"/>
  <c r="AC193" i="1"/>
  <c r="AB193" i="1"/>
  <c r="AD193" i="1" s="1"/>
  <c r="AA193" i="1"/>
  <c r="Y193" i="1"/>
  <c r="W193" i="1"/>
  <c r="AC192" i="1"/>
  <c r="AB192" i="1"/>
  <c r="AD192" i="1" s="1"/>
  <c r="AA192" i="1"/>
  <c r="Y192" i="1"/>
  <c r="W192" i="1"/>
  <c r="AC191" i="1"/>
  <c r="AB191" i="1"/>
  <c r="AD191" i="1" s="1"/>
  <c r="AA191" i="1"/>
  <c r="Y191" i="1"/>
  <c r="W191" i="1"/>
  <c r="AC190" i="1"/>
  <c r="AB190" i="1"/>
  <c r="AD190" i="1" s="1"/>
  <c r="AA190" i="1"/>
  <c r="Y190" i="1"/>
  <c r="W190" i="1"/>
  <c r="AC189" i="1"/>
  <c r="AB189" i="1"/>
  <c r="AD189" i="1" s="1"/>
  <c r="AA189" i="1"/>
  <c r="Y189" i="1"/>
  <c r="W189" i="1"/>
  <c r="AC188" i="1"/>
  <c r="AB188" i="1"/>
  <c r="AD188" i="1" s="1"/>
  <c r="AA188" i="1"/>
  <c r="Y188" i="1"/>
  <c r="W188" i="1"/>
  <c r="AC187" i="1"/>
  <c r="AB187" i="1"/>
  <c r="AD187" i="1" s="1"/>
  <c r="AA187" i="1"/>
  <c r="Y187" i="1"/>
  <c r="W187" i="1"/>
  <c r="AC186" i="1"/>
  <c r="AB186" i="1"/>
  <c r="AD186" i="1" s="1"/>
  <c r="AA186" i="1"/>
  <c r="Y186" i="1"/>
  <c r="W186" i="1"/>
  <c r="AC185" i="1"/>
  <c r="AB185" i="1"/>
  <c r="AD185" i="1" s="1"/>
  <c r="AA185" i="1"/>
  <c r="Y185" i="1"/>
  <c r="W185" i="1"/>
  <c r="AC184" i="1"/>
  <c r="AB184" i="1"/>
  <c r="AD184" i="1" s="1"/>
  <c r="AA184" i="1"/>
  <c r="Y184" i="1"/>
  <c r="W184" i="1"/>
  <c r="AC183" i="1"/>
  <c r="AB183" i="1"/>
  <c r="AD183" i="1" s="1"/>
  <c r="AA183" i="1"/>
  <c r="Y183" i="1"/>
  <c r="W183" i="1"/>
  <c r="AC182" i="1"/>
  <c r="AB182" i="1"/>
  <c r="AD182" i="1" s="1"/>
  <c r="AA182" i="1"/>
  <c r="Y182" i="1"/>
  <c r="W182" i="1"/>
  <c r="AC181" i="1"/>
  <c r="AB181" i="1"/>
  <c r="AD181" i="1" s="1"/>
  <c r="AA181" i="1"/>
  <c r="Y181" i="1"/>
  <c r="W181" i="1"/>
  <c r="AC180" i="1"/>
  <c r="AB180" i="1"/>
  <c r="AD180" i="1" s="1"/>
  <c r="AA180" i="1"/>
  <c r="Y180" i="1"/>
  <c r="W180" i="1"/>
  <c r="AC179" i="1"/>
  <c r="AB179" i="1"/>
  <c r="AD179" i="1" s="1"/>
  <c r="AA179" i="1"/>
  <c r="Y179" i="1"/>
  <c r="W179" i="1"/>
  <c r="AC178" i="1"/>
  <c r="AB178" i="1"/>
  <c r="AD178" i="1" s="1"/>
  <c r="AA178" i="1"/>
  <c r="Y178" i="1"/>
  <c r="W178" i="1"/>
  <c r="AC177" i="1"/>
  <c r="AB177" i="1"/>
  <c r="AD177" i="1" s="1"/>
  <c r="AA177" i="1"/>
  <c r="Y177" i="1"/>
  <c r="W177" i="1"/>
  <c r="AC176" i="1"/>
  <c r="AB176" i="1"/>
  <c r="AD176" i="1" s="1"/>
  <c r="AA176" i="1"/>
  <c r="Y176" i="1"/>
  <c r="W176" i="1"/>
  <c r="AC175" i="1"/>
  <c r="AB175" i="1"/>
  <c r="AD175" i="1" s="1"/>
  <c r="AA175" i="1"/>
  <c r="Y175" i="1"/>
  <c r="W175" i="1"/>
  <c r="AC174" i="1"/>
  <c r="AB174" i="1"/>
  <c r="AD174" i="1" s="1"/>
  <c r="AA174" i="1"/>
  <c r="Y174" i="1"/>
  <c r="W174" i="1"/>
  <c r="AC173" i="1"/>
  <c r="AB173" i="1"/>
  <c r="AD173" i="1" s="1"/>
  <c r="AA173" i="1"/>
  <c r="Y173" i="1"/>
  <c r="W173" i="1"/>
  <c r="AC172" i="1"/>
  <c r="AB172" i="1"/>
  <c r="AD172" i="1" s="1"/>
  <c r="AA172" i="1"/>
  <c r="Y172" i="1"/>
  <c r="W172" i="1"/>
  <c r="AC171" i="1"/>
  <c r="AB171" i="1"/>
  <c r="AD171" i="1" s="1"/>
  <c r="AA171" i="1"/>
  <c r="Y171" i="1"/>
  <c r="W171" i="1"/>
  <c r="AC170" i="1"/>
  <c r="AB170" i="1"/>
  <c r="AD170" i="1" s="1"/>
  <c r="AA170" i="1"/>
  <c r="Y170" i="1"/>
  <c r="W170" i="1"/>
  <c r="AC169" i="1"/>
  <c r="AB169" i="1"/>
  <c r="AD169" i="1" s="1"/>
  <c r="AA169" i="1"/>
  <c r="Y169" i="1"/>
  <c r="W169" i="1"/>
  <c r="AC168" i="1"/>
  <c r="AB168" i="1"/>
  <c r="AD168" i="1" s="1"/>
  <c r="AA168" i="1"/>
  <c r="Y168" i="1"/>
  <c r="W168" i="1"/>
  <c r="AC167" i="1"/>
  <c r="AB167" i="1"/>
  <c r="AD167" i="1" s="1"/>
  <c r="AA167" i="1"/>
  <c r="Y167" i="1"/>
  <c r="W167" i="1"/>
  <c r="AC166" i="1"/>
  <c r="AB166" i="1"/>
  <c r="AD166" i="1" s="1"/>
  <c r="AA166" i="1"/>
  <c r="Y166" i="1"/>
  <c r="W166" i="1"/>
  <c r="AC165" i="1"/>
  <c r="AB165" i="1"/>
  <c r="AD165" i="1" s="1"/>
  <c r="AA165" i="1"/>
  <c r="Y165" i="1"/>
  <c r="W165" i="1"/>
  <c r="AC164" i="1"/>
  <c r="AB164" i="1"/>
  <c r="AD164" i="1" s="1"/>
  <c r="AA164" i="1"/>
  <c r="Y164" i="1"/>
  <c r="W164" i="1"/>
  <c r="AC163" i="1"/>
  <c r="AB163" i="1"/>
  <c r="AD163" i="1" s="1"/>
  <c r="AA163" i="1"/>
  <c r="Y163" i="1"/>
  <c r="W163" i="1"/>
  <c r="AC162" i="1"/>
  <c r="AB162" i="1"/>
  <c r="AD162" i="1" s="1"/>
  <c r="AA162" i="1"/>
  <c r="Y162" i="1"/>
  <c r="W162" i="1"/>
  <c r="AC161" i="1"/>
  <c r="AB161" i="1"/>
  <c r="AD161" i="1" s="1"/>
  <c r="AA161" i="1"/>
  <c r="Y161" i="1"/>
  <c r="W161" i="1"/>
  <c r="AC160" i="1"/>
  <c r="AB160" i="1"/>
  <c r="AD160" i="1" s="1"/>
  <c r="AA160" i="1"/>
  <c r="Y160" i="1"/>
  <c r="AB159" i="1"/>
  <c r="AD159" i="1" s="1"/>
  <c r="W159" i="1"/>
  <c r="AC158" i="1"/>
  <c r="AC157" i="1"/>
  <c r="AB157" i="1"/>
  <c r="AD157" i="1" s="1"/>
  <c r="AC156" i="1"/>
  <c r="AB156" i="1"/>
  <c r="AD156" i="1" s="1"/>
  <c r="AB155" i="1"/>
  <c r="AD155" i="1" s="1"/>
  <c r="AA154" i="1"/>
  <c r="W153" i="1"/>
  <c r="AB152" i="1"/>
  <c r="AD152" i="1" s="1"/>
  <c r="Y152" i="1"/>
  <c r="AC151" i="1"/>
  <c r="AA151" i="1"/>
  <c r="AA150" i="1"/>
  <c r="W150" i="1"/>
  <c r="AC149" i="1"/>
  <c r="AC70" i="1"/>
  <c r="Y70" i="1"/>
  <c r="W70" i="1"/>
  <c r="AC67" i="1"/>
  <c r="W66" i="1"/>
  <c r="AB65" i="1"/>
  <c r="AD65" i="1" s="1"/>
  <c r="AB64" i="1"/>
  <c r="AD64" i="1" s="1"/>
  <c r="W40" i="1"/>
  <c r="AA38" i="1"/>
  <c r="AB36" i="1"/>
  <c r="AD36" i="1" s="1"/>
  <c r="AA32" i="1"/>
  <c r="AA31" i="1"/>
  <c r="AB30" i="1"/>
  <c r="AD30" i="1" s="1"/>
  <c r="AC26" i="1"/>
  <c r="AB25" i="1"/>
  <c r="AD25" i="1" s="1"/>
  <c r="AB23" i="1"/>
  <c r="AD23" i="1" s="1"/>
  <c r="AB20" i="1"/>
  <c r="AD20" i="1" s="1"/>
  <c r="Y20" i="1"/>
  <c r="W20" i="1"/>
  <c r="AC19" i="1"/>
  <c r="Y13" i="1"/>
  <c r="W10" i="1"/>
  <c r="AA6" i="1"/>
  <c r="W5" i="1"/>
  <c r="Y149" i="1"/>
  <c r="W149" i="1"/>
  <c r="AC148" i="1"/>
  <c r="AB148" i="1"/>
  <c r="AD148" i="1" s="1"/>
  <c r="AA148" i="1"/>
  <c r="Y148" i="1"/>
  <c r="W148" i="1"/>
  <c r="AC147" i="1"/>
  <c r="AB147" i="1"/>
  <c r="AD147" i="1" s="1"/>
  <c r="AA147" i="1"/>
  <c r="Y147" i="1"/>
  <c r="W147" i="1"/>
  <c r="AC146" i="1"/>
  <c r="AB146" i="1"/>
  <c r="AD146" i="1" s="1"/>
  <c r="AA146" i="1"/>
  <c r="Y146" i="1"/>
  <c r="W146" i="1"/>
  <c r="AC145" i="1"/>
  <c r="AB145" i="1"/>
  <c r="AD145" i="1" s="1"/>
  <c r="AA145" i="1"/>
  <c r="Y145" i="1"/>
  <c r="W145" i="1"/>
  <c r="AC144" i="1"/>
  <c r="AB144" i="1"/>
  <c r="AD144" i="1" s="1"/>
  <c r="AA144" i="1"/>
  <c r="Y144" i="1"/>
  <c r="W144" i="1"/>
  <c r="AC143" i="1"/>
  <c r="AB143" i="1"/>
  <c r="AD143" i="1" s="1"/>
  <c r="AA143" i="1"/>
  <c r="Y143" i="1"/>
  <c r="W143" i="1"/>
  <c r="AC142" i="1"/>
  <c r="AB142" i="1"/>
  <c r="AD142" i="1" s="1"/>
  <c r="AA142" i="1"/>
  <c r="Y142" i="1"/>
  <c r="W142" i="1"/>
  <c r="AC141" i="1"/>
  <c r="AB141" i="1"/>
  <c r="AD141" i="1" s="1"/>
  <c r="AA141" i="1"/>
  <c r="Y141" i="1"/>
  <c r="W141" i="1"/>
  <c r="AC140" i="1"/>
  <c r="AB140" i="1"/>
  <c r="AD140" i="1" s="1"/>
  <c r="AA140" i="1"/>
  <c r="Y140" i="1"/>
  <c r="W140" i="1"/>
  <c r="AC139" i="1"/>
  <c r="AB139" i="1"/>
  <c r="AD139" i="1" s="1"/>
  <c r="AA139" i="1"/>
  <c r="Y139" i="1"/>
  <c r="W139" i="1"/>
  <c r="AC138" i="1"/>
  <c r="AB138" i="1"/>
  <c r="AD138" i="1" s="1"/>
  <c r="AA138" i="1"/>
  <c r="Y138" i="1"/>
  <c r="W138" i="1"/>
  <c r="AC137" i="1"/>
  <c r="AB137" i="1"/>
  <c r="AD137" i="1" s="1"/>
  <c r="AA137" i="1"/>
  <c r="Y137" i="1"/>
  <c r="W137" i="1"/>
  <c r="AC136" i="1"/>
  <c r="AB136" i="1"/>
  <c r="AD136" i="1" s="1"/>
  <c r="AA136" i="1"/>
  <c r="Y136" i="1"/>
  <c r="W136" i="1"/>
  <c r="AC135" i="1"/>
  <c r="AB135" i="1"/>
  <c r="AD135" i="1" s="1"/>
  <c r="AA135" i="1"/>
  <c r="Y135" i="1"/>
  <c r="W135" i="1"/>
  <c r="AC134" i="1"/>
  <c r="AB134" i="1"/>
  <c r="AD134" i="1" s="1"/>
  <c r="AA134" i="1"/>
  <c r="Y134" i="1"/>
  <c r="W134" i="1"/>
  <c r="AC133" i="1"/>
  <c r="AB133" i="1"/>
  <c r="AD133" i="1" s="1"/>
  <c r="AA133" i="1"/>
  <c r="Y133" i="1"/>
  <c r="W133" i="1"/>
  <c r="AC132" i="1"/>
  <c r="AB132" i="1"/>
  <c r="AD132" i="1" s="1"/>
  <c r="AA132" i="1"/>
  <c r="Y132" i="1"/>
  <c r="W132" i="1"/>
  <c r="AC131" i="1"/>
  <c r="AB131" i="1"/>
  <c r="AD131" i="1" s="1"/>
  <c r="AA131" i="1"/>
  <c r="Y131" i="1"/>
  <c r="W131" i="1"/>
  <c r="AC130" i="1"/>
  <c r="AB130" i="1"/>
  <c r="AD130" i="1" s="1"/>
  <c r="AA130" i="1"/>
  <c r="Y130" i="1"/>
  <c r="W130" i="1"/>
  <c r="AC129" i="1"/>
  <c r="AB129" i="1"/>
  <c r="AD129" i="1" s="1"/>
  <c r="AA129" i="1"/>
  <c r="Y129" i="1"/>
  <c r="W129" i="1"/>
  <c r="AC128" i="1"/>
  <c r="AB128" i="1"/>
  <c r="AD128" i="1" s="1"/>
  <c r="AA128" i="1"/>
  <c r="Y128" i="1"/>
  <c r="W128" i="1"/>
  <c r="AC127" i="1"/>
  <c r="AB127" i="1"/>
  <c r="AD127" i="1" s="1"/>
  <c r="AA127" i="1"/>
  <c r="Y127" i="1"/>
  <c r="W127" i="1"/>
  <c r="AC126" i="1"/>
  <c r="AB126" i="1"/>
  <c r="AD126" i="1" s="1"/>
  <c r="AA126" i="1"/>
  <c r="Y126" i="1"/>
  <c r="W126" i="1"/>
  <c r="AC125" i="1"/>
  <c r="AB125" i="1"/>
  <c r="AD125" i="1" s="1"/>
  <c r="AA125" i="1"/>
  <c r="Y125" i="1"/>
  <c r="W125" i="1"/>
  <c r="AC124" i="1"/>
  <c r="AB124" i="1"/>
  <c r="AD124" i="1" s="1"/>
  <c r="AA124" i="1"/>
  <c r="Y124" i="1"/>
  <c r="W124" i="1"/>
  <c r="AC123" i="1"/>
  <c r="AB123" i="1"/>
  <c r="AD123" i="1" s="1"/>
  <c r="AA123" i="1"/>
  <c r="Y123" i="1"/>
  <c r="W123" i="1"/>
  <c r="AC122" i="1"/>
  <c r="AB122" i="1"/>
  <c r="AD122" i="1" s="1"/>
  <c r="AA122" i="1"/>
  <c r="Y122" i="1"/>
  <c r="W122" i="1"/>
  <c r="AC121" i="1"/>
  <c r="AB121" i="1"/>
  <c r="AD121" i="1" s="1"/>
  <c r="AA121" i="1"/>
  <c r="Y121" i="1"/>
  <c r="W121" i="1"/>
  <c r="AC120" i="1"/>
  <c r="AB120" i="1"/>
  <c r="AD120" i="1" s="1"/>
  <c r="AA120" i="1"/>
  <c r="Y120" i="1"/>
  <c r="W120" i="1"/>
  <c r="AC119" i="1"/>
  <c r="AB119" i="1"/>
  <c r="AD119" i="1" s="1"/>
  <c r="AA119" i="1"/>
  <c r="Y119" i="1"/>
  <c r="W119" i="1"/>
  <c r="AC118" i="1"/>
  <c r="AB118" i="1"/>
  <c r="AD118" i="1" s="1"/>
  <c r="AA118" i="1"/>
  <c r="Y118" i="1"/>
  <c r="W118" i="1"/>
  <c r="AC117" i="1"/>
  <c r="AB117" i="1"/>
  <c r="AD117" i="1" s="1"/>
  <c r="AA117" i="1"/>
  <c r="Y117" i="1"/>
  <c r="W117" i="1"/>
  <c r="AC116" i="1"/>
  <c r="AB116" i="1"/>
  <c r="AD116" i="1" s="1"/>
  <c r="AA116" i="1"/>
  <c r="Y116" i="1"/>
  <c r="W116" i="1"/>
  <c r="AC115" i="1"/>
  <c r="AB115" i="1"/>
  <c r="AD115" i="1" s="1"/>
  <c r="AA115" i="1"/>
  <c r="Y115" i="1"/>
  <c r="W115" i="1"/>
  <c r="AC114" i="1"/>
  <c r="AB114" i="1"/>
  <c r="AD114" i="1" s="1"/>
  <c r="AA114" i="1"/>
  <c r="Y114" i="1"/>
  <c r="W114" i="1"/>
  <c r="AC113" i="1"/>
  <c r="AB113" i="1"/>
  <c r="AD113" i="1" s="1"/>
  <c r="AA113" i="1"/>
  <c r="Y113" i="1"/>
  <c r="W113" i="1"/>
  <c r="AC112" i="1"/>
  <c r="AB112" i="1"/>
  <c r="AD112" i="1" s="1"/>
  <c r="AA112" i="1"/>
  <c r="Y112" i="1"/>
  <c r="W112" i="1"/>
  <c r="AC111" i="1"/>
  <c r="AB111" i="1"/>
  <c r="AD111" i="1" s="1"/>
  <c r="AA111" i="1"/>
  <c r="Y111" i="1"/>
  <c r="W111" i="1"/>
  <c r="AC110" i="1"/>
  <c r="AB110" i="1"/>
  <c r="AD110" i="1" s="1"/>
  <c r="AA110" i="1"/>
  <c r="Y110" i="1"/>
  <c r="W110" i="1"/>
  <c r="AC109" i="1"/>
  <c r="AB109" i="1"/>
  <c r="AD109" i="1" s="1"/>
  <c r="AA109" i="1"/>
  <c r="Y109" i="1"/>
  <c r="W109" i="1"/>
  <c r="AC108" i="1"/>
  <c r="AB108" i="1"/>
  <c r="AD108" i="1" s="1"/>
  <c r="AA108" i="1"/>
  <c r="Y108" i="1"/>
  <c r="W108" i="1"/>
  <c r="AC107" i="1"/>
  <c r="AB107" i="1"/>
  <c r="AD107" i="1" s="1"/>
  <c r="AA107" i="1"/>
  <c r="Y107" i="1"/>
  <c r="W107" i="1"/>
  <c r="AC106" i="1"/>
  <c r="AB106" i="1"/>
  <c r="AD106" i="1" s="1"/>
  <c r="AA106" i="1"/>
  <c r="Y106" i="1"/>
  <c r="W106" i="1"/>
  <c r="AC105" i="1"/>
  <c r="AB105" i="1"/>
  <c r="AD105" i="1" s="1"/>
  <c r="AA105" i="1"/>
  <c r="Y105" i="1"/>
  <c r="W105" i="1"/>
  <c r="AC104" i="1"/>
  <c r="AB104" i="1"/>
  <c r="AD104" i="1" s="1"/>
  <c r="AA104" i="1"/>
  <c r="Y104" i="1"/>
  <c r="W104" i="1"/>
  <c r="AC103" i="1"/>
  <c r="AB103" i="1"/>
  <c r="AD103" i="1" s="1"/>
  <c r="AA103" i="1"/>
  <c r="Y103" i="1"/>
  <c r="W103" i="1"/>
  <c r="AC102" i="1"/>
  <c r="AB102" i="1"/>
  <c r="AD102" i="1" s="1"/>
  <c r="AA102" i="1"/>
  <c r="Y102" i="1"/>
  <c r="W102" i="1"/>
  <c r="AC101" i="1"/>
  <c r="AB101" i="1"/>
  <c r="AD101" i="1" s="1"/>
  <c r="AA101" i="1"/>
  <c r="Y101" i="1"/>
  <c r="W101" i="1"/>
  <c r="AC100" i="1"/>
  <c r="AB100" i="1"/>
  <c r="AD100" i="1" s="1"/>
  <c r="AA100" i="1"/>
  <c r="Y100" i="1"/>
  <c r="W100" i="1"/>
  <c r="AC99" i="1"/>
  <c r="AB99" i="1"/>
  <c r="AD99" i="1" s="1"/>
  <c r="AA99" i="1"/>
  <c r="Y99" i="1"/>
  <c r="W99" i="1"/>
  <c r="AC98" i="1"/>
  <c r="AB98" i="1"/>
  <c r="AD98" i="1" s="1"/>
  <c r="AA98" i="1"/>
  <c r="Y98" i="1"/>
  <c r="W98" i="1"/>
  <c r="AC97" i="1"/>
  <c r="AB97" i="1"/>
  <c r="AD97" i="1" s="1"/>
  <c r="AA97" i="1"/>
  <c r="Y97" i="1"/>
  <c r="W97" i="1"/>
  <c r="AC96" i="1"/>
  <c r="AB96" i="1"/>
  <c r="AD96" i="1" s="1"/>
  <c r="AA96" i="1"/>
  <c r="Y96" i="1"/>
  <c r="W96" i="1"/>
  <c r="AC95" i="1"/>
  <c r="AB95" i="1"/>
  <c r="AD95" i="1" s="1"/>
  <c r="AA95" i="1"/>
  <c r="Y95" i="1"/>
  <c r="W95" i="1"/>
  <c r="AC94" i="1"/>
  <c r="AB94" i="1"/>
  <c r="AD94" i="1" s="1"/>
  <c r="AA94" i="1"/>
  <c r="Y94" i="1"/>
  <c r="W94" i="1"/>
  <c r="AC93" i="1"/>
  <c r="AB93" i="1"/>
  <c r="AD93" i="1" s="1"/>
  <c r="AA93" i="1"/>
  <c r="Y93" i="1"/>
  <c r="W93" i="1"/>
  <c r="AC92" i="1"/>
  <c r="AB92" i="1"/>
  <c r="AD92" i="1" s="1"/>
  <c r="AA92" i="1"/>
  <c r="Y92" i="1"/>
  <c r="W92" i="1"/>
  <c r="AC91" i="1"/>
  <c r="AB91" i="1"/>
  <c r="AD91" i="1" s="1"/>
  <c r="AA91" i="1"/>
  <c r="Y91" i="1"/>
  <c r="W91" i="1"/>
  <c r="AC90" i="1"/>
  <c r="AB90" i="1"/>
  <c r="AD90" i="1" s="1"/>
  <c r="AA90" i="1"/>
  <c r="Y90" i="1"/>
  <c r="W90" i="1"/>
  <c r="AC89" i="1"/>
  <c r="AB89" i="1"/>
  <c r="AD89" i="1" s="1"/>
  <c r="AA89" i="1"/>
  <c r="Y89" i="1"/>
  <c r="W89" i="1"/>
  <c r="AC88" i="1"/>
  <c r="AB88" i="1"/>
  <c r="AD88" i="1" s="1"/>
  <c r="AA88" i="1"/>
  <c r="Y88" i="1"/>
  <c r="W88" i="1"/>
  <c r="AC87" i="1"/>
  <c r="AB87" i="1"/>
  <c r="AD87" i="1" s="1"/>
  <c r="AA87" i="1"/>
  <c r="Y87" i="1"/>
  <c r="W87" i="1"/>
  <c r="AC86" i="1"/>
  <c r="AB86" i="1"/>
  <c r="AD86" i="1" s="1"/>
  <c r="AA86" i="1"/>
  <c r="Y86" i="1"/>
  <c r="W86" i="1"/>
  <c r="AC85" i="1"/>
  <c r="AB85" i="1"/>
  <c r="AD85" i="1" s="1"/>
  <c r="AA85" i="1"/>
  <c r="Y85" i="1"/>
  <c r="W85" i="1"/>
  <c r="AC84" i="1"/>
  <c r="AB84" i="1"/>
  <c r="AD84" i="1" s="1"/>
  <c r="AA84" i="1"/>
  <c r="Y84" i="1"/>
  <c r="W84" i="1"/>
  <c r="AC83" i="1"/>
  <c r="AB83" i="1"/>
  <c r="AD83" i="1" s="1"/>
  <c r="AA83" i="1"/>
  <c r="Y83" i="1"/>
  <c r="W83" i="1"/>
  <c r="AC82" i="1"/>
  <c r="AB82" i="1"/>
  <c r="AD82" i="1" s="1"/>
  <c r="AA82" i="1"/>
  <c r="Y82" i="1"/>
  <c r="W82" i="1"/>
  <c r="AC81" i="1"/>
  <c r="AB81" i="1"/>
  <c r="AD81" i="1" s="1"/>
  <c r="AA81" i="1"/>
  <c r="Y81" i="1"/>
  <c r="W81" i="1"/>
  <c r="AC80" i="1"/>
  <c r="AB80" i="1"/>
  <c r="AD80" i="1" s="1"/>
  <c r="AA80" i="1"/>
  <c r="Y80" i="1"/>
  <c r="W80" i="1"/>
  <c r="AC79" i="1"/>
  <c r="AB79" i="1"/>
  <c r="AD79" i="1" s="1"/>
  <c r="AA79" i="1"/>
  <c r="Y79" i="1"/>
  <c r="W79" i="1"/>
  <c r="AC78" i="1"/>
  <c r="AB78" i="1"/>
  <c r="AD78" i="1" s="1"/>
  <c r="AA78" i="1"/>
  <c r="Y78" i="1"/>
  <c r="W78" i="1"/>
  <c r="AC77" i="1"/>
  <c r="AB77" i="1"/>
  <c r="AD77" i="1" s="1"/>
  <c r="AA77" i="1"/>
  <c r="Y77" i="1"/>
  <c r="W77" i="1"/>
  <c r="AC76" i="1"/>
  <c r="AB76" i="1"/>
  <c r="AD76" i="1" s="1"/>
  <c r="AA76" i="1"/>
  <c r="Y76" i="1"/>
  <c r="W76" i="1"/>
  <c r="AC75" i="1"/>
  <c r="AB75" i="1"/>
  <c r="AD75" i="1" s="1"/>
  <c r="AA75" i="1"/>
  <c r="Y75" i="1"/>
  <c r="W75" i="1"/>
  <c r="AC74" i="1"/>
  <c r="AB74" i="1"/>
  <c r="AD74" i="1" s="1"/>
  <c r="AA74" i="1"/>
  <c r="Y74" i="1"/>
  <c r="W74" i="1"/>
  <c r="AC73" i="1"/>
  <c r="AB73" i="1"/>
  <c r="AD73" i="1" s="1"/>
  <c r="AA73" i="1"/>
  <c r="Y73" i="1"/>
  <c r="W73" i="1"/>
  <c r="AC72" i="1"/>
  <c r="AB72" i="1"/>
  <c r="AD72" i="1" s="1"/>
  <c r="AA72" i="1"/>
  <c r="Y72" i="1"/>
  <c r="W72" i="1"/>
  <c r="AC71" i="1"/>
  <c r="AB71" i="1"/>
  <c r="AD71" i="1" s="1"/>
  <c r="AA71" i="1"/>
  <c r="Y71" i="1"/>
  <c r="AB70" i="1"/>
  <c r="AD70" i="1" s="1"/>
  <c r="AA70" i="1"/>
  <c r="W68" i="1"/>
  <c r="AC65" i="1"/>
  <c r="AA65" i="1"/>
  <c r="AC38" i="1"/>
  <c r="AC37" i="1"/>
  <c r="W36" i="1"/>
  <c r="AB35" i="1"/>
  <c r="AD35" i="1" s="1"/>
  <c r="Y35" i="1"/>
  <c r="W35" i="1"/>
  <c r="W34" i="1"/>
  <c r="AA33" i="1"/>
  <c r="AC32" i="1"/>
  <c r="W32" i="1"/>
  <c r="AB31" i="1"/>
  <c r="AD31" i="1" s="1"/>
  <c r="W29" i="1"/>
  <c r="W28" i="1"/>
  <c r="AC25" i="1"/>
  <c r="Y25" i="1"/>
  <c r="AB24" i="1"/>
  <c r="AD24" i="1" s="1"/>
  <c r="AC23" i="1"/>
  <c r="Y23" i="1"/>
  <c r="Y22" i="1"/>
  <c r="AB21" i="1"/>
  <c r="AD21" i="1" s="1"/>
  <c r="Y21" i="1"/>
  <c r="Y18" i="1"/>
  <c r="W16" i="1"/>
  <c r="AA14" i="1"/>
  <c r="AC13" i="1"/>
  <c r="AB12" i="1"/>
  <c r="AD12" i="1" s="1"/>
  <c r="AB11" i="1"/>
  <c r="AD11" i="1" s="1"/>
  <c r="Y9" i="1"/>
  <c r="AC63" i="1"/>
  <c r="AB63" i="1"/>
  <c r="AD63" i="1" s="1"/>
  <c r="AA63" i="1"/>
  <c r="Y63" i="1"/>
  <c r="W63" i="1"/>
  <c r="AC62" i="1"/>
  <c r="AB62" i="1"/>
  <c r="AD62" i="1" s="1"/>
  <c r="AA62" i="1"/>
  <c r="Y62" i="1"/>
  <c r="W62" i="1"/>
  <c r="AC61" i="1"/>
  <c r="AB61" i="1"/>
  <c r="AD61" i="1" s="1"/>
  <c r="AA61" i="1"/>
  <c r="Y61" i="1"/>
  <c r="W61" i="1"/>
  <c r="AC60" i="1"/>
  <c r="AB60" i="1"/>
  <c r="AD60" i="1" s="1"/>
  <c r="AA60" i="1"/>
  <c r="Y60" i="1"/>
  <c r="W60" i="1"/>
  <c r="AC59" i="1"/>
  <c r="AB59" i="1"/>
  <c r="AD59" i="1" s="1"/>
  <c r="AA59" i="1"/>
  <c r="Y59" i="1"/>
  <c r="W59" i="1"/>
  <c r="AC58" i="1"/>
  <c r="AB58" i="1"/>
  <c r="AD58" i="1" s="1"/>
  <c r="AA58" i="1"/>
  <c r="Y58" i="1"/>
  <c r="W58" i="1"/>
  <c r="AC57" i="1"/>
  <c r="AB57" i="1"/>
  <c r="AD57" i="1" s="1"/>
  <c r="AA57" i="1"/>
  <c r="Y57" i="1"/>
  <c r="W57" i="1"/>
  <c r="AC56" i="1"/>
  <c r="AB56" i="1"/>
  <c r="AD56" i="1" s="1"/>
  <c r="AA56" i="1"/>
  <c r="Y56" i="1"/>
  <c r="W56" i="1"/>
  <c r="AC55" i="1"/>
  <c r="AB55" i="1"/>
  <c r="AD55" i="1" s="1"/>
  <c r="AA55" i="1"/>
  <c r="Y55" i="1"/>
  <c r="W55" i="1"/>
  <c r="AC54" i="1"/>
  <c r="AB54" i="1"/>
  <c r="AD54" i="1" s="1"/>
  <c r="AA54" i="1"/>
  <c r="Y54" i="1"/>
  <c r="W54" i="1"/>
  <c r="AC53" i="1"/>
  <c r="AB53" i="1"/>
  <c r="AD53" i="1" s="1"/>
  <c r="AA53" i="1"/>
  <c r="Y53" i="1"/>
  <c r="W53" i="1"/>
  <c r="AC52" i="1"/>
  <c r="AB52" i="1"/>
  <c r="AD52" i="1" s="1"/>
  <c r="AA52" i="1"/>
  <c r="Y52" i="1"/>
  <c r="W52" i="1"/>
  <c r="AC51" i="1"/>
  <c r="AB51" i="1"/>
  <c r="AD51" i="1" s="1"/>
  <c r="AA51" i="1"/>
  <c r="Y51" i="1"/>
  <c r="W51" i="1"/>
  <c r="AC50" i="1"/>
  <c r="AB50" i="1"/>
  <c r="AD50" i="1" s="1"/>
  <c r="AA50" i="1"/>
  <c r="Y50" i="1"/>
  <c r="W50" i="1"/>
  <c r="AC49" i="1"/>
  <c r="AB49" i="1"/>
  <c r="AD49" i="1" s="1"/>
  <c r="AA49" i="1"/>
  <c r="Y49" i="1"/>
  <c r="W49" i="1"/>
  <c r="AC48" i="1"/>
  <c r="AB48" i="1"/>
  <c r="AD48" i="1" s="1"/>
  <c r="AA48" i="1"/>
  <c r="Y48" i="1"/>
  <c r="W48" i="1"/>
  <c r="AC47" i="1"/>
  <c r="AB47" i="1"/>
  <c r="AD47" i="1" s="1"/>
  <c r="AA47" i="1"/>
  <c r="Y47" i="1"/>
  <c r="W47" i="1"/>
  <c r="AC46" i="1"/>
  <c r="AB46" i="1"/>
  <c r="AD46" i="1" s="1"/>
  <c r="AA46" i="1"/>
  <c r="Y46" i="1"/>
  <c r="W46" i="1"/>
  <c r="AC45" i="1"/>
  <c r="AB45" i="1"/>
  <c r="AD45" i="1" s="1"/>
  <c r="AA45" i="1"/>
  <c r="Y45" i="1"/>
  <c r="W45" i="1"/>
  <c r="AC44" i="1"/>
  <c r="AB44" i="1"/>
  <c r="AD44" i="1" s="1"/>
  <c r="AA44" i="1"/>
  <c r="Y44" i="1"/>
  <c r="W44" i="1"/>
  <c r="AC43" i="1"/>
  <c r="AB43" i="1"/>
  <c r="AD43" i="1" s="1"/>
  <c r="AA43" i="1"/>
  <c r="Y43" i="1"/>
  <c r="W43" i="1"/>
  <c r="AC42" i="1"/>
  <c r="AB42" i="1"/>
  <c r="AD42" i="1" s="1"/>
  <c r="AA42" i="1"/>
  <c r="Y42" i="1"/>
  <c r="W42" i="1"/>
  <c r="AC41" i="1"/>
  <c r="AB41" i="1"/>
  <c r="AD41" i="1" s="1"/>
  <c r="AA41" i="1"/>
  <c r="Y41" i="1"/>
  <c r="W41" i="1"/>
  <c r="AC40" i="1"/>
  <c r="AB40" i="1"/>
  <c r="AD40" i="1" s="1"/>
  <c r="AA40" i="1"/>
  <c r="AB38" i="1"/>
  <c r="AD38" i="1" s="1"/>
  <c r="AB34" i="1"/>
  <c r="AD34" i="1" s="1"/>
  <c r="W33" i="1"/>
  <c r="Y29" i="1"/>
  <c r="W27" i="1"/>
  <c r="W25" i="1"/>
  <c r="W22" i="1"/>
  <c r="AB17" i="1"/>
  <c r="AD17" i="1" s="1"/>
  <c r="Y17" i="1"/>
  <c r="AA16" i="1"/>
  <c r="AB15" i="1"/>
  <c r="AD15" i="1" s="1"/>
  <c r="Y14" i="1"/>
  <c r="Y12" i="1"/>
  <c r="AA11" i="1"/>
  <c r="W11" i="1"/>
  <c r="W9" i="1"/>
  <c r="AB8" i="1"/>
  <c r="AD8" i="1" s="1"/>
  <c r="Y8" i="1"/>
  <c r="AB7" i="1"/>
  <c r="AD7" i="1" s="1"/>
  <c r="W4" i="1"/>
  <c r="Z120" i="5"/>
  <c r="Z117" i="5"/>
  <c r="U114" i="5"/>
  <c r="U113" i="5"/>
  <c r="Z104" i="5"/>
  <c r="U102" i="5"/>
  <c r="U99" i="5"/>
  <c r="U98" i="5"/>
  <c r="U56" i="5"/>
  <c r="Y159" i="1"/>
  <c r="Y157" i="1"/>
  <c r="W156" i="1"/>
  <c r="AC155" i="1"/>
  <c r="W155" i="1"/>
  <c r="AC154" i="1"/>
  <c r="Y154" i="1"/>
  <c r="AB151" i="1"/>
  <c r="AD151" i="1" s="1"/>
  <c r="AC150" i="1"/>
  <c r="AC68" i="1"/>
  <c r="Y68" i="1"/>
  <c r="AA66" i="1"/>
  <c r="AA37" i="1"/>
  <c r="AC35" i="1"/>
  <c r="Y33" i="1"/>
  <c r="W31" i="1"/>
  <c r="Y30" i="1"/>
  <c r="AA29" i="1"/>
  <c r="Y24" i="1"/>
  <c r="AA23" i="1"/>
  <c r="AB19" i="1"/>
  <c r="AD19" i="1" s="1"/>
  <c r="AC15" i="1"/>
  <c r="Y15" i="1"/>
  <c r="AC14" i="1"/>
  <c r="W13" i="1"/>
  <c r="W12" i="1"/>
  <c r="Y11" i="1"/>
  <c r="W8" i="1"/>
  <c r="AC5" i="1"/>
  <c r="AC4" i="1"/>
  <c r="Z145" i="5"/>
  <c r="Z134" i="5"/>
  <c r="Z125" i="5"/>
  <c r="Z122" i="5"/>
  <c r="Z121" i="5"/>
  <c r="Z113" i="5"/>
  <c r="U107" i="5"/>
  <c r="Z102" i="5"/>
  <c r="U94" i="5"/>
  <c r="Z69" i="5"/>
  <c r="Z67" i="5"/>
  <c r="U59" i="5"/>
  <c r="W154" i="1"/>
  <c r="AC152" i="1"/>
  <c r="W152" i="1"/>
  <c r="Y150" i="1"/>
  <c r="Y69" i="1"/>
  <c r="Y67" i="1"/>
  <c r="AB66" i="1"/>
  <c r="AD66" i="1" s="1"/>
  <c r="Y65" i="1"/>
  <c r="Y39" i="1"/>
  <c r="Y36" i="1"/>
  <c r="AC30" i="1"/>
  <c r="AB29" i="1"/>
  <c r="AD29" i="1" s="1"/>
  <c r="AC27" i="1"/>
  <c r="AB26" i="1"/>
  <c r="AD26" i="1" s="1"/>
  <c r="AA25" i="1"/>
  <c r="W23" i="1"/>
  <c r="W21" i="1"/>
  <c r="AA20" i="1"/>
  <c r="Y19" i="1"/>
  <c r="AC17" i="1"/>
  <c r="AB16" i="1"/>
  <c r="AD16" i="1" s="1"/>
  <c r="AA15" i="1"/>
  <c r="AB13" i="1"/>
  <c r="AD13" i="1" s="1"/>
  <c r="AA12" i="1"/>
  <c r="AB10" i="1"/>
  <c r="AD10" i="1" s="1"/>
  <c r="AA9" i="1"/>
  <c r="AA5" i="1"/>
  <c r="AA4" i="1"/>
  <c r="U116" i="5"/>
  <c r="U115" i="5"/>
  <c r="Z109" i="5"/>
  <c r="Z103" i="5"/>
  <c r="Z99" i="5"/>
  <c r="Z98" i="5"/>
  <c r="Z97" i="5"/>
  <c r="Z94" i="5"/>
  <c r="U81" i="5"/>
  <c r="Z62" i="5"/>
  <c r="AC159" i="1"/>
  <c r="AA69" i="1"/>
  <c r="AC66" i="1"/>
  <c r="W65" i="1"/>
  <c r="Y34" i="1"/>
  <c r="Y32" i="1"/>
  <c r="W30" i="1"/>
  <c r="AC29" i="1"/>
  <c r="Y27" i="1"/>
  <c r="AC24" i="1"/>
  <c r="AA22" i="1"/>
  <c r="AA19" i="1"/>
  <c r="W19" i="1"/>
  <c r="AA17" i="1"/>
  <c r="W17" i="1"/>
  <c r="Y16" i="1"/>
  <c r="AB14" i="1"/>
  <c r="AD14" i="1" s="1"/>
  <c r="W14" i="1"/>
  <c r="AA13" i="1"/>
  <c r="Y10" i="1"/>
  <c r="AA8" i="1"/>
  <c r="AC7" i="1"/>
  <c r="W7" i="1"/>
  <c r="AB5" i="1"/>
  <c r="AD5" i="1" s="1"/>
  <c r="Y4" i="1"/>
  <c r="U185" i="5"/>
  <c r="U182" i="5"/>
  <c r="Z181" i="5"/>
  <c r="U181" i="5"/>
  <c r="Z180" i="5"/>
  <c r="U180" i="5"/>
  <c r="Z178" i="5"/>
  <c r="U178" i="5"/>
  <c r="Z175" i="5"/>
  <c r="Z174" i="5"/>
  <c r="U174" i="5"/>
  <c r="Z173" i="5"/>
  <c r="U173" i="5"/>
  <c r="Z172" i="5"/>
  <c r="U172" i="5"/>
  <c r="U171" i="5"/>
  <c r="Z170" i="5"/>
  <c r="Z169" i="5"/>
  <c r="U169" i="5"/>
  <c r="Z168" i="5"/>
  <c r="U168" i="5"/>
  <c r="Z167" i="5"/>
  <c r="U167" i="5"/>
  <c r="Z166" i="5"/>
  <c r="U166" i="5"/>
  <c r="Z165" i="5"/>
  <c r="U165" i="5"/>
  <c r="Z164" i="5"/>
  <c r="U164" i="5"/>
  <c r="Z163" i="5"/>
  <c r="Z162" i="5"/>
  <c r="U162" i="5"/>
  <c r="Z161" i="5"/>
  <c r="U160" i="5"/>
  <c r="U156" i="5"/>
  <c r="Z155" i="5"/>
  <c r="Z154" i="5"/>
  <c r="U154" i="5"/>
  <c r="Z153" i="5"/>
  <c r="U153" i="5"/>
  <c r="Z151" i="5"/>
  <c r="U151" i="5"/>
  <c r="U150" i="5"/>
  <c r="Z146" i="5"/>
  <c r="U146" i="5"/>
  <c r="U145" i="5"/>
  <c r="Z144" i="5"/>
  <c r="U143" i="5"/>
  <c r="U141" i="5"/>
  <c r="Z140" i="5"/>
  <c r="U140" i="5"/>
  <c r="Z138" i="5"/>
  <c r="U137" i="5"/>
  <c r="U136" i="5"/>
  <c r="Z135" i="5"/>
  <c r="U135" i="5"/>
  <c r="Z133" i="5"/>
  <c r="Z132" i="5"/>
  <c r="U132" i="5"/>
  <c r="Z131" i="5"/>
  <c r="U131" i="5"/>
  <c r="Z130" i="5"/>
  <c r="Z129" i="5"/>
  <c r="U129" i="5"/>
  <c r="Z128" i="5"/>
  <c r="Z126" i="5"/>
  <c r="U124" i="5"/>
  <c r="Z123" i="5"/>
  <c r="U122" i="5"/>
  <c r="Z119" i="5"/>
  <c r="U119" i="5"/>
  <c r="U118" i="5"/>
  <c r="Z115" i="5"/>
  <c r="Z112" i="5"/>
  <c r="U112" i="5"/>
  <c r="U110" i="5"/>
  <c r="U109" i="5"/>
  <c r="Z108" i="5"/>
  <c r="U108" i="5"/>
  <c r="Z106" i="5"/>
  <c r="Z105" i="5"/>
  <c r="U105" i="5"/>
  <c r="Z101" i="5"/>
  <c r="Z100" i="5"/>
  <c r="U96" i="5"/>
  <c r="Z92" i="5"/>
  <c r="Z91" i="5"/>
  <c r="U91" i="5"/>
  <c r="U90" i="5"/>
  <c r="Z89" i="5"/>
  <c r="U89" i="5"/>
  <c r="Z88" i="5"/>
  <c r="U88" i="5"/>
  <c r="Z87" i="5"/>
  <c r="U87" i="5"/>
  <c r="Z86" i="5"/>
  <c r="U85" i="5"/>
  <c r="U84" i="5"/>
  <c r="Z83" i="5"/>
  <c r="Z80" i="5"/>
  <c r="Z79" i="5"/>
  <c r="U78" i="5"/>
  <c r="U77" i="5"/>
  <c r="U74" i="5"/>
  <c r="U73" i="5"/>
  <c r="Z70" i="5"/>
  <c r="U70" i="5"/>
  <c r="Z68" i="5"/>
  <c r="U68" i="5"/>
  <c r="U67" i="5"/>
  <c r="Z66" i="5"/>
  <c r="U66" i="5"/>
  <c r="U65" i="5"/>
  <c r="U64" i="5"/>
  <c r="Z63" i="5"/>
  <c r="U58" i="5"/>
  <c r="U57" i="5"/>
  <c r="Z56" i="5"/>
  <c r="AA159" i="1"/>
  <c r="AA158" i="1"/>
  <c r="Y158" i="1"/>
  <c r="AA157" i="1"/>
  <c r="AA156" i="1"/>
  <c r="Y156" i="1"/>
  <c r="AA155" i="1"/>
  <c r="AB154" i="1"/>
  <c r="AD154" i="1" s="1"/>
  <c r="AB153" i="1"/>
  <c r="AD153" i="1" s="1"/>
  <c r="AB150" i="1"/>
  <c r="AD150" i="1" s="1"/>
  <c r="W71" i="1"/>
  <c r="AB69" i="1"/>
  <c r="AD69" i="1" s="1"/>
  <c r="AA68" i="1"/>
  <c r="W67" i="1"/>
  <c r="Y66" i="1"/>
  <c r="AC64" i="1"/>
  <c r="Y64" i="1"/>
  <c r="AC39" i="1"/>
  <c r="Y38" i="1"/>
  <c r="W38" i="1"/>
  <c r="AB37" i="1"/>
  <c r="AD37" i="1" s="1"/>
  <c r="Y37" i="1"/>
  <c r="AC34" i="1"/>
  <c r="AA34" i="1"/>
  <c r="AC33" i="1"/>
  <c r="AB32" i="1"/>
  <c r="AD32" i="1" s="1"/>
  <c r="AC28" i="1"/>
  <c r="Y28" i="1"/>
  <c r="AB27" i="1"/>
  <c r="AD27" i="1" s="1"/>
  <c r="AA26" i="1"/>
  <c r="AC21" i="1"/>
  <c r="AA21" i="1"/>
  <c r="AC18" i="1"/>
  <c r="AB18" i="1"/>
  <c r="AD18" i="1" s="1"/>
  <c r="W18" i="1"/>
  <c r="AC16" i="1"/>
  <c r="W15" i="1"/>
  <c r="AC12" i="1"/>
  <c r="AC11" i="1"/>
  <c r="AC10" i="1"/>
  <c r="AA10" i="1"/>
  <c r="AB9" i="1"/>
  <c r="AD9" i="1" s="1"/>
  <c r="AC8" i="1"/>
  <c r="Y7" i="1"/>
  <c r="W6" i="1"/>
</calcChain>
</file>

<file path=xl/sharedStrings.xml><?xml version="1.0" encoding="utf-8"?>
<sst xmlns="http://schemas.openxmlformats.org/spreadsheetml/2006/main" count="179" uniqueCount="141">
  <si>
    <t>【本番】BUYMA出品管理テンプレート</t>
  </si>
  <si>
    <t>価格計算表（黄色セルを入力・更新）</t>
  </si>
  <si>
    <t>為替・送料・費用を入れると、必要販売価格と参考表示価格を自動計算します。</t>
  </si>
  <si>
    <t>番号</t>
  </si>
  <si>
    <t>ブランド</t>
  </si>
  <si>
    <t>商品名</t>
  </si>
  <si>
    <t>型番</t>
  </si>
  <si>
    <t>色</t>
  </si>
  <si>
    <t>価格</t>
  </si>
  <si>
    <t>通貨</t>
  </si>
  <si>
    <t>買付先</t>
  </si>
  <si>
    <t>商品ページURL</t>
  </si>
  <si>
    <t>買付国</t>
  </si>
  <si>
    <t>発送先</t>
  </si>
  <si>
    <t>購入者</t>
  </si>
  <si>
    <t>判定</t>
  </si>
  <si>
    <t>理由</t>
  </si>
  <si>
    <t>BUYMA入力状況</t>
  </si>
  <si>
    <t>メモ</t>
  </si>
  <si>
    <t>為替レート</t>
  </si>
  <si>
    <t>商品原価円</t>
  </si>
  <si>
    <t>MyUS手数料円</t>
  </si>
  <si>
    <t>国際送料円</t>
  </si>
  <si>
    <t>楽ロジまで送料円</t>
  </si>
  <si>
    <t>その他費用円</t>
  </si>
  <si>
    <t>BUYMA手数料率</t>
  </si>
  <si>
    <t>目標利益円</t>
  </si>
  <si>
    <t>原価合計円</t>
  </si>
  <si>
    <t>必要販売価格(送料除く)</t>
  </si>
  <si>
    <t>最安送料</t>
  </si>
  <si>
    <t>参考表示価格(送料込)</t>
  </si>
  <si>
    <t>利益見込円</t>
  </si>
  <si>
    <t>利益率</t>
  </si>
  <si>
    <t>サイズ在庫</t>
  </si>
  <si>
    <t>商品コメント</t>
  </si>
  <si>
    <t>Excel記録用メモ</t>
  </si>
  <si>
    <t>本番管理の使い方</t>
  </si>
  <si>
    <t>1. 出品候補・新規出品は『本番管理』に入力します。</t>
  </si>
  <si>
    <t>2. B〜J列にブランド・商品名・型番・色・価格・通貨・買付先・URL・買付国を入れます。</t>
  </si>
  <si>
    <t>3. Q列に為替レートを入れると、R列以降の価格計算が動きます。</t>
  </si>
  <si>
    <t>4. 発送先に『MyUS』を含めると、S列にMyUS手数料8%が自動計算されます。</t>
  </si>
  <si>
    <t>5. T列の国際送料、V列のその他費用は商品に合わせて手入力します。</t>
  </si>
  <si>
    <t>6. Z列がBUYMAの商品価格、AB列が送料込みの参考表示価格です。</t>
  </si>
  <si>
    <t>7. 出品後はBUYMA商品ID・カタログID・購入期限をAG列メモに残します。</t>
  </si>
  <si>
    <t>※Z列は前シートと同じく、必要価格計算後に72円を引く調整式です。</t>
  </si>
  <si>
    <t>価格計算式（2026-06修正版）</t>
  </si>
  <si>
    <t>S列：買付国または発送先にMyUSがある場合、商品原価円×8%</t>
  </si>
  <si>
    <t>T列：国際送料 コート15000円／靴・バッグ12000円／その他7200円</t>
  </si>
  <si>
    <t>U列：楽ロジまで送料1000円</t>
  </si>
  <si>
    <t>V列：その他費用1000円</t>
  </si>
  <si>
    <t>X列：目標利益円=原価合計円×10%、Z列：必要販売価格は72円引き調整</t>
  </si>
  <si>
    <t>管理区分</t>
  </si>
  <si>
    <t>BUYMA商品ID</t>
  </si>
  <si>
    <t>カタログID</t>
  </si>
  <si>
    <t>商品URL</t>
  </si>
  <si>
    <t>商品価格</t>
  </si>
  <si>
    <t>表示価格</t>
  </si>
  <si>
    <t>購入期限</t>
  </si>
  <si>
    <t>アクセス</t>
  </si>
  <si>
    <t>ほしいもの</t>
  </si>
  <si>
    <t>カート</t>
  </si>
  <si>
    <t>最終確認日</t>
  </si>
  <si>
    <t>在庫判定</t>
  </si>
  <si>
    <t>価格判定</t>
  </si>
  <si>
    <t>次回対応</t>
  </si>
  <si>
    <t>出品中管理の使い方</t>
  </si>
  <si>
    <t>1. 本番管理で出品中の商品のみ転記して、週次チェックに使います。</t>
  </si>
  <si>
    <t>2. アクセス・ほしいもの・カートをBUYMA画面から入力します。</t>
  </si>
  <si>
    <t>3. 最終確認日・在庫判定・価格判定・次回対応を更新します。</t>
  </si>
  <si>
    <t>4. 判定は『維持』『期限延長』『価格修正』『在庫切れ停止』『削除候補』『再出品候補』で管理します。</t>
  </si>
  <si>
    <t>5. 価格計算や正式な記録は本番管理へ戻して管理します。</t>
  </si>
  <si>
    <t>受注番号</t>
  </si>
  <si>
    <t>注文日</t>
  </si>
  <si>
    <t>BUYMA注文ID</t>
  </si>
  <si>
    <t>本番管理番号</t>
  </si>
  <si>
    <t>購入者名</t>
  </si>
  <si>
    <t>購入者住所</t>
  </si>
  <si>
    <t>購入者電話</t>
  </si>
  <si>
    <t>販売価格</t>
  </si>
  <si>
    <t>BUYMA手数料</t>
  </si>
  <si>
    <t>入金予定額</t>
  </si>
  <si>
    <t>買付価格</t>
  </si>
  <si>
    <t>国際送料</t>
  </si>
  <si>
    <t>関税</t>
  </si>
  <si>
    <t>楽ロジ費用</t>
  </si>
  <si>
    <t>国内送料</t>
  </si>
  <si>
    <t>総原価</t>
  </si>
  <si>
    <t>利益</t>
  </si>
  <si>
    <t>買付日</t>
  </si>
  <si>
    <t>買付状況</t>
  </si>
  <si>
    <t>追跡番号</t>
  </si>
  <si>
    <t>楽ロジ到着日</t>
  </si>
  <si>
    <t>発送日</t>
  </si>
  <si>
    <t>発送状況</t>
  </si>
  <si>
    <t>受注管理の使い方</t>
  </si>
  <si>
    <t>1. 受注が入ったらBUYMA注文ID・商品ID・販売価格・購入者情報を入力します。</t>
  </si>
  <si>
    <t>2. 買付価格・通貨・為替レート・送料・関税等を入力します。</t>
  </si>
  <si>
    <t>3. BUYMA手数料・入金予定額・総原価・利益・利益率は自動計算です。</t>
  </si>
  <si>
    <t>4. 買付日・追跡番号・楽ロジ到着日・発送日を更新します。</t>
  </si>
  <si>
    <t>5. 個人情報を含むため、共有時は購入者名・住所・電話を伏せてください。</t>
  </si>
  <si>
    <t>USD</t>
  </si>
  <si>
    <t>アメリカ</t>
  </si>
  <si>
    <t>本命</t>
  </si>
  <si>
    <t>出品中</t>
  </si>
  <si>
    <t>在庫あり</t>
  </si>
  <si>
    <t>維持</t>
  </si>
  <si>
    <t>未買付</t>
  </si>
  <si>
    <t>未発送</t>
  </si>
  <si>
    <t>EUR</t>
  </si>
  <si>
    <t>イギリス</t>
  </si>
  <si>
    <t>保留</t>
  </si>
  <si>
    <t>下書き</t>
  </si>
  <si>
    <t>在庫なし</t>
  </si>
  <si>
    <t>価格修正</t>
  </si>
  <si>
    <t>期限延長</t>
  </si>
  <si>
    <t>買付済み</t>
  </si>
  <si>
    <t>発送準備中</t>
  </si>
  <si>
    <t>GBP</t>
  </si>
  <si>
    <t>イタリア</t>
  </si>
  <si>
    <t>見送り</t>
  </si>
  <si>
    <t>出品停止中</t>
  </si>
  <si>
    <t>要確認</t>
  </si>
  <si>
    <t>値上げ</t>
  </si>
  <si>
    <t>発送待ち</t>
  </si>
  <si>
    <t>発送済み</t>
  </si>
  <si>
    <t>JPY</t>
  </si>
  <si>
    <t>フランス</t>
  </si>
  <si>
    <t>再開・編集済み</t>
  </si>
  <si>
    <t>削除済み</t>
  </si>
  <si>
    <t>確認不可</t>
  </si>
  <si>
    <t>値下げ</t>
  </si>
  <si>
    <t>在庫確認</t>
  </si>
  <si>
    <t>到着待ち</t>
  </si>
  <si>
    <t>完了</t>
  </si>
  <si>
    <t>ドイツ</t>
  </si>
  <si>
    <t>削除</t>
  </si>
  <si>
    <t>新規出品済み</t>
  </si>
  <si>
    <t>削除候補</t>
  </si>
  <si>
    <t>キャンセル</t>
  </si>
  <si>
    <t>スペイン</t>
  </si>
  <si>
    <t>再出品候補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</si>
</sst>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%"/>
    <numFmt numFmtId="178" formatCode="yyyy/mm/dd"/>
    <numFmt numFmtId="179" formatCode="#,##0&quot;円&quot;"/>
  </numFmts>
  <fonts count="9"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2"/>
      <color rgb="FFFFFFFF"/>
      <name val="Carlito"/>
    </font>
    <font>
      <i/>
      <sz val="11"/>
      <name val="Carlito"/>
    </font>
    <font>
      <b/>
      <sz val="13"/>
      <color rgb="FFFFFFFF"/>
      <name val="Carlito"/>
    </font>
    <font>
      <sz val="11"/>
      <name val="Carlito"/>
    </font>
    <font>
      <sz val="6"/>
      <name val="Tsukushi A Round Gothic Bold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7030A0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0" fillId="0" borderId="0" xfId="1" applyFont="1" applyAlignment="1">
      <alignment wrapText="1"/>
    </xf>
    <xf numFmtId="0" fontId="1" fillId="0" borderId="0" xfId="1" applyFont="1"/>
    <xf numFmtId="0" fontId="2" fillId="2" borderId="0" xfId="1" applyFont="1" applyFill="1"/>
    <xf numFmtId="0" fontId="2" fillId="2" borderId="0" xfId="1" applyFont="1" applyFill="1" applyAlignment="1">
      <alignment horizontal="center" vertical="center" wrapText="1"/>
    </xf>
    <xf numFmtId="0" fontId="0" fillId="6" borderId="0" xfId="1" applyFont="1" applyFill="1" applyAlignment="1">
      <alignment wrapText="1"/>
    </xf>
    <xf numFmtId="4" fontId="0" fillId="6" borderId="0" xfId="1" applyNumberFormat="1" applyFont="1" applyFill="1" applyAlignment="1">
      <alignment wrapText="1"/>
    </xf>
    <xf numFmtId="176" fontId="0" fillId="6" borderId="0" xfId="1" applyNumberFormat="1" applyFont="1" applyFill="1" applyAlignment="1">
      <alignment wrapText="1"/>
    </xf>
    <xf numFmtId="177" fontId="0" fillId="0" borderId="0" xfId="1" applyNumberFormat="1" applyFont="1" applyAlignment="1">
      <alignment wrapText="1"/>
    </xf>
    <xf numFmtId="3" fontId="0" fillId="0" borderId="0" xfId="1" applyNumberFormat="1" applyFont="1"/>
    <xf numFmtId="178" fontId="0" fillId="0" borderId="0" xfId="1" applyNumberFormat="1" applyFont="1"/>
    <xf numFmtId="177" fontId="0" fillId="0" borderId="0" xfId="1" applyNumberFormat="1" applyFont="1"/>
    <xf numFmtId="0" fontId="6" fillId="2" borderId="0" xfId="1" applyFont="1" applyFill="1" applyAlignment="1">
      <alignment wrapText="1"/>
    </xf>
    <xf numFmtId="179" fontId="0" fillId="0" borderId="0" xfId="1" applyNumberFormat="1" applyFont="1" applyAlignment="1">
      <alignment wrapText="1"/>
    </xf>
    <xf numFmtId="179" fontId="0" fillId="6" borderId="0" xfId="1" applyNumberFormat="1" applyFont="1" applyFill="1" applyAlignment="1">
      <alignment wrapText="1"/>
    </xf>
    <xf numFmtId="179" fontId="0" fillId="7" borderId="0" xfId="1" applyNumberFormat="1" applyFont="1" applyFill="1" applyAlignment="1">
      <alignment wrapText="1"/>
    </xf>
    <xf numFmtId="179" fontId="0" fillId="0" borderId="0" xfId="1" applyNumberFormat="1" applyFont="1"/>
    <xf numFmtId="0" fontId="3" fillId="3" borderId="0" xfId="1" applyFont="1" applyFill="1" applyAlignment="1">
      <alignment horizontal="center"/>
    </xf>
    <xf numFmtId="0" fontId="1" fillId="0" borderId="0" xfId="1" applyFont="1"/>
    <xf numFmtId="0" fontId="4" fillId="4" borderId="0" xfId="1" applyFont="1" applyFill="1" applyAlignment="1">
      <alignment horizontal="center"/>
    </xf>
    <xf numFmtId="0" fontId="5" fillId="5" borderId="0" xfId="1" applyFont="1" applyFill="1" applyAlignment="1">
      <alignment wrapText="1"/>
    </xf>
    <xf numFmtId="0" fontId="0" fillId="0" borderId="0" xfId="0"/>
  </cellXfs>
  <cellStyles count="2">
    <cellStyle name="Normal" xfId="1" xr:uid="{00000000-0005-0000-0000-000000000000}"/>
    <cellStyle name="標準" xfId="0" builtinId="0"/>
  </cellStyles>
  <dxfs count="4"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nbanTable" displayName="HonbanTable" ref="A3:AG203">
  <tableColumns count="33">
    <tableColumn id="1" xr3:uid="{00000000-0010-0000-0000-000001000000}" name="番号"/>
    <tableColumn id="2" xr3:uid="{00000000-0010-0000-0000-000002000000}" name="ブランド"/>
    <tableColumn id="3" xr3:uid="{00000000-0010-0000-0000-000003000000}" name="商品名"/>
    <tableColumn id="4" xr3:uid="{00000000-0010-0000-0000-000004000000}" name="型番"/>
    <tableColumn id="5" xr3:uid="{00000000-0010-0000-0000-000005000000}" name="色"/>
    <tableColumn id="6" xr3:uid="{00000000-0010-0000-0000-000006000000}" name="価格"/>
    <tableColumn id="7" xr3:uid="{00000000-0010-0000-0000-000007000000}" name="通貨"/>
    <tableColumn id="8" xr3:uid="{00000000-0010-0000-0000-000008000000}" name="買付先"/>
    <tableColumn id="9" xr3:uid="{00000000-0010-0000-0000-000009000000}" name="商品ページURL"/>
    <tableColumn id="10" xr3:uid="{00000000-0010-0000-0000-00000A000000}" name="買付国"/>
    <tableColumn id="11" xr3:uid="{00000000-0010-0000-0000-00000B000000}" name="発送先"/>
    <tableColumn id="12" xr3:uid="{00000000-0010-0000-0000-00000C000000}" name="購入者"/>
    <tableColumn id="13" xr3:uid="{00000000-0010-0000-0000-00000D000000}" name="判定"/>
    <tableColumn id="14" xr3:uid="{00000000-0010-0000-0000-00000E000000}" name="理由"/>
    <tableColumn id="15" xr3:uid="{00000000-0010-0000-0000-00000F000000}" name="BUYMA入力状況"/>
    <tableColumn id="16" xr3:uid="{00000000-0010-0000-0000-000010000000}" name="メモ"/>
    <tableColumn id="17" xr3:uid="{00000000-0010-0000-0000-000011000000}" name="為替レート"/>
    <tableColumn id="18" xr3:uid="{00000000-0010-0000-0000-000012000000}" name="商品原価円"/>
    <tableColumn id="19" xr3:uid="{00000000-0010-0000-0000-000013000000}" name="MyUS手数料円"/>
    <tableColumn id="20" xr3:uid="{00000000-0010-0000-0000-000014000000}" name="国際送料円"/>
    <tableColumn id="21" xr3:uid="{00000000-0010-0000-0000-000015000000}" name="楽ロジまで送料円"/>
    <tableColumn id="22" xr3:uid="{00000000-0010-0000-0000-000016000000}" name="その他費用円"/>
    <tableColumn id="23" xr3:uid="{00000000-0010-0000-0000-000017000000}" name="BUYMA手数料率"/>
    <tableColumn id="24" xr3:uid="{00000000-0010-0000-0000-000018000000}" name="目標利益円"/>
    <tableColumn id="25" xr3:uid="{00000000-0010-0000-0000-000019000000}" name="原価合計円"/>
    <tableColumn id="26" xr3:uid="{00000000-0010-0000-0000-00001A000000}" name="必要販売価格(送料除く)"/>
    <tableColumn id="27" xr3:uid="{00000000-0010-0000-0000-00001B000000}" name="最安送料"/>
    <tableColumn id="28" xr3:uid="{00000000-0010-0000-0000-00001C000000}" name="参考表示価格(送料込)"/>
    <tableColumn id="29" xr3:uid="{00000000-0010-0000-0000-00001D000000}" name="利益見込円"/>
    <tableColumn id="30" xr3:uid="{00000000-0010-0000-0000-00001E000000}" name="利益率"/>
    <tableColumn id="31" xr3:uid="{00000000-0010-0000-0000-00001F000000}" name="サイズ在庫"/>
    <tableColumn id="32" xr3:uid="{00000000-0010-0000-0000-000020000000}" name="商品コメント"/>
    <tableColumn id="33" xr3:uid="{00000000-0010-0000-0000-000021000000}" name="Excel記録用メモ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tiveListingTable" displayName="ActiveListingTable" ref="A1:Y201">
  <tableColumns count="25">
    <tableColumn id="1" xr3:uid="{00000000-0010-0000-0100-000001000000}" name="番号"/>
    <tableColumn id="2" xr3:uid="{00000000-0010-0000-0100-000002000000}" name="管理区分"/>
    <tableColumn id="3" xr3:uid="{00000000-0010-0000-0100-000003000000}" name="ブランド"/>
    <tableColumn id="4" xr3:uid="{00000000-0010-0000-0100-000004000000}" name="商品名"/>
    <tableColumn id="5" xr3:uid="{00000000-0010-0000-0100-000005000000}" name="型番"/>
    <tableColumn id="6" xr3:uid="{00000000-0010-0000-0100-000006000000}" name="BUYMA商品ID"/>
    <tableColumn id="7" xr3:uid="{00000000-0010-0000-0100-000007000000}" name="カタログID"/>
    <tableColumn id="8" xr3:uid="{00000000-0010-0000-0100-000008000000}" name="色"/>
    <tableColumn id="9" xr3:uid="{00000000-0010-0000-0100-000009000000}" name="買付先"/>
    <tableColumn id="10" xr3:uid="{00000000-0010-0000-0100-00000A000000}" name="商品URL"/>
    <tableColumn id="11" xr3:uid="{00000000-0010-0000-0100-00000B000000}" name="買付国"/>
    <tableColumn id="12" xr3:uid="{00000000-0010-0000-0100-00000C000000}" name="発送先"/>
    <tableColumn id="13" xr3:uid="{00000000-0010-0000-0100-00000D000000}" name="商品価格"/>
    <tableColumn id="14" xr3:uid="{00000000-0010-0000-0100-00000E000000}" name="表示価格"/>
    <tableColumn id="15" xr3:uid="{00000000-0010-0000-0100-00000F000000}" name="購入期限"/>
    <tableColumn id="16" xr3:uid="{00000000-0010-0000-0100-000010000000}" name="サイズ在庫"/>
    <tableColumn id="17" xr3:uid="{00000000-0010-0000-0100-000011000000}" name="アクセス"/>
    <tableColumn id="18" xr3:uid="{00000000-0010-0000-0100-000012000000}" name="ほしいもの"/>
    <tableColumn id="19" xr3:uid="{00000000-0010-0000-0100-000013000000}" name="カート"/>
    <tableColumn id="20" xr3:uid="{00000000-0010-0000-0100-000014000000}" name="最終確認日"/>
    <tableColumn id="21" xr3:uid="{00000000-0010-0000-0100-000015000000}" name="在庫判定"/>
    <tableColumn id="22" xr3:uid="{00000000-0010-0000-0100-000016000000}" name="価格判定"/>
    <tableColumn id="23" xr3:uid="{00000000-0010-0000-0100-000017000000}" name="次回対応"/>
    <tableColumn id="24" xr3:uid="{00000000-0010-0000-0100-000018000000}" name="BUYMA入力状況"/>
    <tableColumn id="25" xr3:uid="{00000000-0010-0000-0100-000019000000}" name="メモ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rderTable" displayName="OrderTable" ref="A1:AI201">
  <tableColumns count="35">
    <tableColumn id="1" xr3:uid="{00000000-0010-0000-0200-000001000000}" name="受注番号"/>
    <tableColumn id="2" xr3:uid="{00000000-0010-0000-0200-000002000000}" name="注文日"/>
    <tableColumn id="3" xr3:uid="{00000000-0010-0000-0200-000003000000}" name="BUYMA注文ID"/>
    <tableColumn id="4" xr3:uid="{00000000-0010-0000-0200-000004000000}" name="本番管理番号"/>
    <tableColumn id="5" xr3:uid="{00000000-0010-0000-0200-000005000000}" name="BUYMA商品ID"/>
    <tableColumn id="6" xr3:uid="{00000000-0010-0000-0200-000006000000}" name="ブランド"/>
    <tableColumn id="7" xr3:uid="{00000000-0010-0000-0200-000007000000}" name="商品名"/>
    <tableColumn id="8" xr3:uid="{00000000-0010-0000-0200-000008000000}" name="型番"/>
    <tableColumn id="9" xr3:uid="{00000000-0010-0000-0200-000009000000}" name="色"/>
    <tableColumn id="10" xr3:uid="{00000000-0010-0000-0200-00000A000000}" name="購入者名"/>
    <tableColumn id="11" xr3:uid="{00000000-0010-0000-0200-00000B000000}" name="購入者住所"/>
    <tableColumn id="12" xr3:uid="{00000000-0010-0000-0200-00000C000000}" name="購入者電話"/>
    <tableColumn id="13" xr3:uid="{00000000-0010-0000-0200-00000D000000}" name="販売価格"/>
    <tableColumn id="14" xr3:uid="{00000000-0010-0000-0200-00000E000000}" name="BUYMA手数料"/>
    <tableColumn id="15" xr3:uid="{00000000-0010-0000-0200-00000F000000}" name="入金予定額"/>
    <tableColumn id="16" xr3:uid="{00000000-0010-0000-0200-000010000000}" name="買付先"/>
    <tableColumn id="17" xr3:uid="{00000000-0010-0000-0200-000011000000}" name="買付価格"/>
    <tableColumn id="18" xr3:uid="{00000000-0010-0000-0200-000012000000}" name="通貨"/>
    <tableColumn id="19" xr3:uid="{00000000-0010-0000-0200-000013000000}" name="為替レート"/>
    <tableColumn id="20" xr3:uid="{00000000-0010-0000-0200-000014000000}" name="商品原価円"/>
    <tableColumn id="21" xr3:uid="{00000000-0010-0000-0200-000015000000}" name="MyUS手数料円"/>
    <tableColumn id="22" xr3:uid="{00000000-0010-0000-0200-000016000000}" name="国際送料"/>
    <tableColumn id="23" xr3:uid="{00000000-0010-0000-0200-000017000000}" name="関税"/>
    <tableColumn id="24" xr3:uid="{00000000-0010-0000-0200-000018000000}" name="楽ロジ費用"/>
    <tableColumn id="25" xr3:uid="{00000000-0010-0000-0200-000019000000}" name="国内送料"/>
    <tableColumn id="26" xr3:uid="{00000000-0010-0000-0200-00001A000000}" name="総原価"/>
    <tableColumn id="27" xr3:uid="{00000000-0010-0000-0200-00001B000000}" name="利益"/>
    <tableColumn id="28" xr3:uid="{00000000-0010-0000-0200-00001C000000}" name="利益率"/>
    <tableColumn id="29" xr3:uid="{00000000-0010-0000-0200-00001D000000}" name="買付日"/>
    <tableColumn id="30" xr3:uid="{00000000-0010-0000-0200-00001E000000}" name="買付状況"/>
    <tableColumn id="31" xr3:uid="{00000000-0010-0000-0200-00001F000000}" name="追跡番号"/>
    <tableColumn id="32" xr3:uid="{00000000-0010-0000-0200-000020000000}" name="楽ロジ到着日"/>
    <tableColumn id="33" xr3:uid="{00000000-0010-0000-0200-000021000000}" name="発送日"/>
    <tableColumn id="34" xr3:uid="{00000000-0010-0000-0200-000022000000}" name="発送状況"/>
    <tableColumn id="35" xr3:uid="{00000000-0010-0000-0200-000023000000}" name="メモ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3"/>
  <sheetViews>
    <sheetView tabSelected="1" workbookViewId="0"/>
  </sheetViews>
  <sheetFormatPr baseColWidth="10" defaultColWidth="8.83203125" defaultRowHeight="14"/>
  <cols>
    <col min="1" max="1" width="6" customWidth="1"/>
    <col min="2" max="2" width="14" customWidth="1"/>
    <col min="3" max="3" width="26" customWidth="1"/>
    <col min="4" max="4" width="20" customWidth="1"/>
    <col min="5" max="5" width="16" customWidth="1"/>
    <col min="6" max="6" width="10" customWidth="1"/>
    <col min="7" max="7" width="8" customWidth="1"/>
    <col min="8" max="8" width="20" customWidth="1"/>
    <col min="9" max="9" width="38" customWidth="1"/>
    <col min="10" max="10" width="12" customWidth="1"/>
    <col min="11" max="11" width="22" customWidth="1"/>
    <col min="12" max="12" width="12" customWidth="1"/>
    <col min="13" max="13" width="14" customWidth="1"/>
    <col min="14" max="14" width="26" customWidth="1"/>
    <col min="15" max="15" width="16" customWidth="1"/>
    <col min="16" max="16" width="30" customWidth="1"/>
    <col min="17" max="17" width="10" customWidth="1"/>
    <col min="18" max="25" width="12" customWidth="1"/>
    <col min="26" max="26" width="15" customWidth="1"/>
    <col min="27" max="27" width="10" customWidth="1"/>
    <col min="28" max="28" width="15" customWidth="1"/>
    <col min="29" max="29" width="12" customWidth="1"/>
    <col min="30" max="30" width="10" customWidth="1"/>
    <col min="31" max="31" width="24" customWidth="1"/>
    <col min="32" max="32" width="34" customWidth="1"/>
    <col min="33" max="33" width="42" customWidth="1"/>
  </cols>
  <sheetData>
    <row r="1" spans="1:33" ht="18">
      <c r="A1" s="2"/>
      <c r="B1" s="17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 t="s">
        <v>1</v>
      </c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2"/>
      <c r="AF1" s="2"/>
      <c r="AG1" s="2"/>
    </row>
    <row r="2" spans="1:33" ht="15">
      <c r="Q2" s="20" t="s">
        <v>2</v>
      </c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3" ht="42.75" customHeight="1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  <c r="W3" s="4" t="s">
        <v>25</v>
      </c>
      <c r="X3" s="4" t="s">
        <v>26</v>
      </c>
      <c r="Y3" s="4" t="s">
        <v>27</v>
      </c>
      <c r="Z3" s="4" t="s">
        <v>28</v>
      </c>
      <c r="AA3" s="4" t="s">
        <v>29</v>
      </c>
      <c r="AB3" s="4" t="s">
        <v>30</v>
      </c>
      <c r="AC3" s="4" t="s">
        <v>31</v>
      </c>
      <c r="AD3" s="4" t="s">
        <v>32</v>
      </c>
      <c r="AE3" s="4" t="s">
        <v>33</v>
      </c>
      <c r="AF3" s="4" t="s">
        <v>34</v>
      </c>
      <c r="AG3" s="4" t="s">
        <v>35</v>
      </c>
    </row>
    <row r="4" spans="1:33" ht="15">
      <c r="A4" s="1">
        <f t="shared" ref="A4:A35" si="0">ROW()-3</f>
        <v>1</v>
      </c>
      <c r="B4" s="1"/>
      <c r="C4" s="1"/>
      <c r="D4" s="1"/>
      <c r="E4" s="1"/>
      <c r="F4" s="6"/>
      <c r="G4" s="5"/>
      <c r="H4" s="1"/>
      <c r="I4" s="1"/>
      <c r="J4" s="1"/>
      <c r="K4" s="1"/>
      <c r="L4" s="1"/>
      <c r="M4" s="1"/>
      <c r="N4" s="1"/>
      <c r="O4" s="1"/>
      <c r="P4" s="1"/>
      <c r="Q4" s="7"/>
      <c r="R4" s="13" t="str">
        <f t="shared" ref="R4:R35" si="1">IF(OR(F4="",Q4=""),"",IF(OR(G4="USD",G4="EUR",G4="GBP"),F4*Q4,F4))</f>
        <v/>
      </c>
      <c r="S4" s="13" t="str">
        <f t="shared" ref="S4:S35" si="2">IF(Q4="","",IF(OR(J4="イギリス",J4="アメリカ",J4="イタリア",J4="フランス",J4="ドイツ",J4="スペイン",J4="オランダ",J4="ベルギー",J4="ポルトガル",J4="オーストリア",ISNUMBER(SEARCH("MyUS",K4))),ROUND(R4*0.08,0),0))</f>
        <v/>
      </c>
      <c r="T4" s="14" t="str">
        <f t="shared" ref="T4:T35" si="3">IF(Q4="","",IF(OR(ISNUMBER(SEARCH("コート",C4)),ISNUMBER(SEARCH("Coat",C4)),ISNUMBER(SEARCH("coat",C4))),15000,IF(OR(ISNUMBER(SEARCH("靴",C4)),ISNUMBER(SEARCH("スニーカー",C4)),ISNUMBER(SEARCH("Sneaker",C4)),ISNUMBER(SEARCH("sneaker",C4)),ISNUMBER(SEARCH("Shoes",C4)),ISNUMBER(SEARCH("shoes",C4)),ISNUMBER(SEARCH("Boot",C4)),ISNUMBER(SEARCH("boot",C4)),ISNUMBER(SEARCH("バッグ",C4)),ISNUMBER(SEARCH("Bag",C4)),ISNUMBER(SEARCH("bag",C4)),ISNUMBER(SEARCH("Tote",C4)),ISNUMBER(SEARCH("tote",C4)),ISNUMBER(SEARCH("Shoulder",C4)),ISNUMBER(SEARCH("shoulder",C4))),12000,7200)))</f>
        <v/>
      </c>
      <c r="U4" s="14">
        <v>1000</v>
      </c>
      <c r="V4" s="14">
        <v>1000</v>
      </c>
      <c r="W4" s="8">
        <f t="shared" ref="W4:W35" si="4">IF(A4="","",0.077)</f>
        <v>7.6999999999999999E-2</v>
      </c>
      <c r="X4" s="13" t="str">
        <f t="shared" ref="X4:X35" si="5">IF($Q4="","",ROUND(Y4*10%,0))</f>
        <v/>
      </c>
      <c r="Y4" s="13" t="str">
        <f t="shared" ref="Y4:Y35" si="6">IF(R4="","",R4+S4+T4+U4+V4)</f>
        <v/>
      </c>
      <c r="Z4" s="15" t="str">
        <f t="shared" ref="Z4:Z35" si="7">IF($Q4="","",IF(1-W4&lt;=0,"",ROUNDUP((Y4+X4)/(1-W4),0))-72)</f>
        <v/>
      </c>
      <c r="AA4" s="15">
        <f t="shared" ref="AA4:AA35" si="8">IF(A4="","",900)</f>
        <v>900</v>
      </c>
      <c r="AB4" s="15" t="str">
        <f t="shared" ref="AB4:AB35" si="9">IF(Z4="","",Z4+AA4)</f>
        <v/>
      </c>
      <c r="AC4" s="13" t="str">
        <f t="shared" ref="AC4:AC35" si="10">IF(Z4="","",Z4*(1-W4)-Y4)</f>
        <v/>
      </c>
      <c r="AD4" s="8" t="str">
        <f t="shared" ref="AD4:AD35" si="11">IF(AB4="","",AC4/AB4)</f>
        <v/>
      </c>
      <c r="AE4" s="1"/>
      <c r="AF4" s="1"/>
      <c r="AG4" s="1"/>
    </row>
    <row r="5" spans="1:33" ht="15">
      <c r="A5" s="1">
        <f t="shared" si="0"/>
        <v>2</v>
      </c>
      <c r="B5" s="1"/>
      <c r="C5" s="1"/>
      <c r="D5" s="1"/>
      <c r="E5" s="1"/>
      <c r="F5" s="6"/>
      <c r="G5" s="5"/>
      <c r="H5" s="1"/>
      <c r="I5" s="1"/>
      <c r="J5" s="1"/>
      <c r="K5" s="1"/>
      <c r="L5" s="1"/>
      <c r="M5" s="1"/>
      <c r="N5" s="1"/>
      <c r="O5" s="1"/>
      <c r="P5" s="1"/>
      <c r="Q5" s="7"/>
      <c r="R5" s="13" t="str">
        <f t="shared" si="1"/>
        <v/>
      </c>
      <c r="S5" s="13" t="str">
        <f t="shared" si="2"/>
        <v/>
      </c>
      <c r="T5" s="14" t="str">
        <f t="shared" si="3"/>
        <v/>
      </c>
      <c r="U5" s="14">
        <v>1000</v>
      </c>
      <c r="V5" s="14">
        <v>1000</v>
      </c>
      <c r="W5" s="8">
        <f t="shared" si="4"/>
        <v>7.6999999999999999E-2</v>
      </c>
      <c r="X5" s="13" t="str">
        <f t="shared" si="5"/>
        <v/>
      </c>
      <c r="Y5" s="13" t="str">
        <f t="shared" si="6"/>
        <v/>
      </c>
      <c r="Z5" s="15" t="str">
        <f t="shared" si="7"/>
        <v/>
      </c>
      <c r="AA5" s="15">
        <f t="shared" si="8"/>
        <v>900</v>
      </c>
      <c r="AB5" s="15" t="str">
        <f t="shared" si="9"/>
        <v/>
      </c>
      <c r="AC5" s="13" t="str">
        <f t="shared" si="10"/>
        <v/>
      </c>
      <c r="AD5" s="8" t="str">
        <f t="shared" si="11"/>
        <v/>
      </c>
      <c r="AE5" s="1"/>
      <c r="AF5" s="1"/>
      <c r="AG5" s="1"/>
    </row>
    <row r="6" spans="1:33" ht="15">
      <c r="A6" s="1">
        <f t="shared" si="0"/>
        <v>3</v>
      </c>
      <c r="B6" s="1"/>
      <c r="C6" s="1"/>
      <c r="D6" s="1"/>
      <c r="E6" s="1"/>
      <c r="F6" s="6"/>
      <c r="G6" s="5"/>
      <c r="H6" s="1"/>
      <c r="I6" s="1"/>
      <c r="J6" s="1"/>
      <c r="K6" s="1"/>
      <c r="L6" s="1"/>
      <c r="M6" s="1"/>
      <c r="N6" s="1"/>
      <c r="O6" s="1"/>
      <c r="P6" s="1"/>
      <c r="Q6" s="7"/>
      <c r="R6" s="13" t="str">
        <f t="shared" si="1"/>
        <v/>
      </c>
      <c r="S6" s="13" t="str">
        <f t="shared" si="2"/>
        <v/>
      </c>
      <c r="T6" s="14" t="str">
        <f t="shared" si="3"/>
        <v/>
      </c>
      <c r="U6" s="14">
        <v>1000</v>
      </c>
      <c r="V6" s="14">
        <v>1000</v>
      </c>
      <c r="W6" s="8">
        <f t="shared" si="4"/>
        <v>7.6999999999999999E-2</v>
      </c>
      <c r="X6" s="13" t="str">
        <f t="shared" si="5"/>
        <v/>
      </c>
      <c r="Y6" s="13" t="str">
        <f t="shared" si="6"/>
        <v/>
      </c>
      <c r="Z6" s="15" t="str">
        <f t="shared" si="7"/>
        <v/>
      </c>
      <c r="AA6" s="15">
        <f t="shared" si="8"/>
        <v>900</v>
      </c>
      <c r="AB6" s="15" t="str">
        <f t="shared" si="9"/>
        <v/>
      </c>
      <c r="AC6" s="13" t="str">
        <f t="shared" si="10"/>
        <v/>
      </c>
      <c r="AD6" s="8" t="str">
        <f t="shared" si="11"/>
        <v/>
      </c>
      <c r="AE6" s="1"/>
      <c r="AF6" s="1"/>
      <c r="AG6" s="1"/>
    </row>
    <row r="7" spans="1:33" ht="15">
      <c r="A7" s="1">
        <f t="shared" si="0"/>
        <v>4</v>
      </c>
      <c r="B7" s="1"/>
      <c r="C7" s="1"/>
      <c r="D7" s="1"/>
      <c r="E7" s="1"/>
      <c r="F7" s="6"/>
      <c r="G7" s="5"/>
      <c r="H7" s="1"/>
      <c r="I7" s="1"/>
      <c r="J7" s="1"/>
      <c r="K7" s="1"/>
      <c r="L7" s="1"/>
      <c r="M7" s="1"/>
      <c r="N7" s="1"/>
      <c r="O7" s="1"/>
      <c r="P7" s="1"/>
      <c r="Q7" s="7"/>
      <c r="R7" s="13" t="str">
        <f t="shared" si="1"/>
        <v/>
      </c>
      <c r="S7" s="13" t="str">
        <f t="shared" si="2"/>
        <v/>
      </c>
      <c r="T7" s="14" t="str">
        <f t="shared" si="3"/>
        <v/>
      </c>
      <c r="U7" s="14">
        <v>1000</v>
      </c>
      <c r="V7" s="14">
        <v>1000</v>
      </c>
      <c r="W7" s="8">
        <f t="shared" si="4"/>
        <v>7.6999999999999999E-2</v>
      </c>
      <c r="X7" s="13" t="str">
        <f t="shared" si="5"/>
        <v/>
      </c>
      <c r="Y7" s="13" t="str">
        <f t="shared" si="6"/>
        <v/>
      </c>
      <c r="Z7" s="15" t="str">
        <f t="shared" si="7"/>
        <v/>
      </c>
      <c r="AA7" s="15">
        <f t="shared" si="8"/>
        <v>900</v>
      </c>
      <c r="AB7" s="15" t="str">
        <f t="shared" si="9"/>
        <v/>
      </c>
      <c r="AC7" s="13" t="str">
        <f t="shared" si="10"/>
        <v/>
      </c>
      <c r="AD7" s="8" t="str">
        <f t="shared" si="11"/>
        <v/>
      </c>
      <c r="AE7" s="1"/>
      <c r="AF7" s="1"/>
      <c r="AG7" s="1"/>
    </row>
    <row r="8" spans="1:33" ht="15">
      <c r="A8" s="1">
        <f t="shared" si="0"/>
        <v>5</v>
      </c>
      <c r="B8" s="1"/>
      <c r="C8" s="1"/>
      <c r="D8" s="1"/>
      <c r="E8" s="1"/>
      <c r="F8" s="6"/>
      <c r="G8" s="5"/>
      <c r="H8" s="1"/>
      <c r="I8" s="1"/>
      <c r="J8" s="1"/>
      <c r="K8" s="1"/>
      <c r="L8" s="1"/>
      <c r="M8" s="1"/>
      <c r="N8" s="1"/>
      <c r="O8" s="1"/>
      <c r="P8" s="1"/>
      <c r="Q8" s="7"/>
      <c r="R8" s="13" t="str">
        <f t="shared" si="1"/>
        <v/>
      </c>
      <c r="S8" s="13" t="str">
        <f t="shared" si="2"/>
        <v/>
      </c>
      <c r="T8" s="14" t="str">
        <f t="shared" si="3"/>
        <v/>
      </c>
      <c r="U8" s="14">
        <v>1000</v>
      </c>
      <c r="V8" s="14">
        <v>1000</v>
      </c>
      <c r="W8" s="8">
        <f t="shared" si="4"/>
        <v>7.6999999999999999E-2</v>
      </c>
      <c r="X8" s="13" t="str">
        <f t="shared" si="5"/>
        <v/>
      </c>
      <c r="Y8" s="13" t="str">
        <f t="shared" si="6"/>
        <v/>
      </c>
      <c r="Z8" s="15" t="str">
        <f t="shared" si="7"/>
        <v/>
      </c>
      <c r="AA8" s="15">
        <f t="shared" si="8"/>
        <v>900</v>
      </c>
      <c r="AB8" s="15" t="str">
        <f t="shared" si="9"/>
        <v/>
      </c>
      <c r="AC8" s="13" t="str">
        <f t="shared" si="10"/>
        <v/>
      </c>
      <c r="AD8" s="8" t="str">
        <f t="shared" si="11"/>
        <v/>
      </c>
      <c r="AE8" s="1"/>
      <c r="AF8" s="1"/>
      <c r="AG8" s="1"/>
    </row>
    <row r="9" spans="1:33" ht="15">
      <c r="A9" s="1">
        <f t="shared" si="0"/>
        <v>6</v>
      </c>
      <c r="B9" s="1"/>
      <c r="C9" s="1"/>
      <c r="D9" s="1"/>
      <c r="E9" s="1"/>
      <c r="F9" s="6"/>
      <c r="G9" s="5"/>
      <c r="H9" s="1"/>
      <c r="I9" s="1"/>
      <c r="J9" s="1"/>
      <c r="K9" s="1"/>
      <c r="L9" s="1"/>
      <c r="M9" s="1"/>
      <c r="N9" s="1"/>
      <c r="O9" s="1"/>
      <c r="P9" s="1"/>
      <c r="Q9" s="7"/>
      <c r="R9" s="13" t="str">
        <f t="shared" si="1"/>
        <v/>
      </c>
      <c r="S9" s="13" t="str">
        <f t="shared" si="2"/>
        <v/>
      </c>
      <c r="T9" s="14" t="str">
        <f t="shared" si="3"/>
        <v/>
      </c>
      <c r="U9" s="14">
        <v>1000</v>
      </c>
      <c r="V9" s="14">
        <v>1000</v>
      </c>
      <c r="W9" s="8">
        <f t="shared" si="4"/>
        <v>7.6999999999999999E-2</v>
      </c>
      <c r="X9" s="13" t="str">
        <f t="shared" si="5"/>
        <v/>
      </c>
      <c r="Y9" s="13" t="str">
        <f t="shared" si="6"/>
        <v/>
      </c>
      <c r="Z9" s="15" t="str">
        <f t="shared" si="7"/>
        <v/>
      </c>
      <c r="AA9" s="15">
        <f t="shared" si="8"/>
        <v>900</v>
      </c>
      <c r="AB9" s="15" t="str">
        <f t="shared" si="9"/>
        <v/>
      </c>
      <c r="AC9" s="13" t="str">
        <f t="shared" si="10"/>
        <v/>
      </c>
      <c r="AD9" s="8" t="str">
        <f t="shared" si="11"/>
        <v/>
      </c>
      <c r="AE9" s="1"/>
      <c r="AF9" s="1"/>
      <c r="AG9" s="1"/>
    </row>
    <row r="10" spans="1:33" ht="15">
      <c r="A10" s="1">
        <f t="shared" si="0"/>
        <v>7</v>
      </c>
      <c r="B10" s="1"/>
      <c r="C10" s="1"/>
      <c r="D10" s="1"/>
      <c r="E10" s="1"/>
      <c r="F10" s="6"/>
      <c r="G10" s="5"/>
      <c r="H10" s="1"/>
      <c r="I10" s="1"/>
      <c r="J10" s="1"/>
      <c r="K10" s="1"/>
      <c r="L10" s="1"/>
      <c r="M10" s="1"/>
      <c r="N10" s="1"/>
      <c r="O10" s="1"/>
      <c r="P10" s="1"/>
      <c r="Q10" s="7"/>
      <c r="R10" s="13" t="str">
        <f t="shared" si="1"/>
        <v/>
      </c>
      <c r="S10" s="13" t="str">
        <f t="shared" si="2"/>
        <v/>
      </c>
      <c r="T10" s="14" t="str">
        <f t="shared" si="3"/>
        <v/>
      </c>
      <c r="U10" s="14">
        <v>1000</v>
      </c>
      <c r="V10" s="14">
        <v>1000</v>
      </c>
      <c r="W10" s="8">
        <f t="shared" si="4"/>
        <v>7.6999999999999999E-2</v>
      </c>
      <c r="X10" s="13" t="str">
        <f t="shared" si="5"/>
        <v/>
      </c>
      <c r="Y10" s="13" t="str">
        <f t="shared" si="6"/>
        <v/>
      </c>
      <c r="Z10" s="15" t="str">
        <f t="shared" si="7"/>
        <v/>
      </c>
      <c r="AA10" s="15">
        <f t="shared" si="8"/>
        <v>900</v>
      </c>
      <c r="AB10" s="15" t="str">
        <f t="shared" si="9"/>
        <v/>
      </c>
      <c r="AC10" s="13" t="str">
        <f t="shared" si="10"/>
        <v/>
      </c>
      <c r="AD10" s="8" t="str">
        <f t="shared" si="11"/>
        <v/>
      </c>
      <c r="AE10" s="1"/>
      <c r="AF10" s="1"/>
      <c r="AG10" s="1"/>
    </row>
    <row r="11" spans="1:33" ht="15">
      <c r="A11" s="1">
        <f t="shared" si="0"/>
        <v>8</v>
      </c>
      <c r="B11" s="1"/>
      <c r="C11" s="1"/>
      <c r="D11" s="1"/>
      <c r="E11" s="1"/>
      <c r="F11" s="6"/>
      <c r="G11" s="5"/>
      <c r="H11" s="1"/>
      <c r="I11" s="1"/>
      <c r="J11" s="1"/>
      <c r="K11" s="1"/>
      <c r="L11" s="1"/>
      <c r="M11" s="1"/>
      <c r="N11" s="1"/>
      <c r="O11" s="1"/>
      <c r="P11" s="1"/>
      <c r="Q11" s="7"/>
      <c r="R11" s="13" t="str">
        <f t="shared" si="1"/>
        <v/>
      </c>
      <c r="S11" s="13" t="str">
        <f t="shared" si="2"/>
        <v/>
      </c>
      <c r="T11" s="14" t="str">
        <f t="shared" si="3"/>
        <v/>
      </c>
      <c r="U11" s="14">
        <v>1000</v>
      </c>
      <c r="V11" s="14">
        <v>1000</v>
      </c>
      <c r="W11" s="8">
        <f t="shared" si="4"/>
        <v>7.6999999999999999E-2</v>
      </c>
      <c r="X11" s="13" t="str">
        <f t="shared" si="5"/>
        <v/>
      </c>
      <c r="Y11" s="13" t="str">
        <f t="shared" si="6"/>
        <v/>
      </c>
      <c r="Z11" s="15" t="str">
        <f t="shared" si="7"/>
        <v/>
      </c>
      <c r="AA11" s="15">
        <f t="shared" si="8"/>
        <v>900</v>
      </c>
      <c r="AB11" s="15" t="str">
        <f t="shared" si="9"/>
        <v/>
      </c>
      <c r="AC11" s="13" t="str">
        <f t="shared" si="10"/>
        <v/>
      </c>
      <c r="AD11" s="8" t="str">
        <f t="shared" si="11"/>
        <v/>
      </c>
      <c r="AE11" s="1"/>
      <c r="AF11" s="1"/>
      <c r="AG11" s="1"/>
    </row>
    <row r="12" spans="1:33" ht="15">
      <c r="A12" s="1">
        <f t="shared" si="0"/>
        <v>9</v>
      </c>
      <c r="B12" s="1"/>
      <c r="C12" s="1"/>
      <c r="D12" s="1"/>
      <c r="E12" s="1"/>
      <c r="F12" s="6"/>
      <c r="G12" s="5"/>
      <c r="H12" s="1"/>
      <c r="I12" s="1"/>
      <c r="J12" s="1"/>
      <c r="K12" s="1"/>
      <c r="L12" s="1"/>
      <c r="M12" s="1"/>
      <c r="N12" s="1"/>
      <c r="O12" s="1"/>
      <c r="P12" s="1"/>
      <c r="Q12" s="7"/>
      <c r="R12" s="13" t="str">
        <f t="shared" si="1"/>
        <v/>
      </c>
      <c r="S12" s="13" t="str">
        <f t="shared" si="2"/>
        <v/>
      </c>
      <c r="T12" s="14" t="str">
        <f t="shared" si="3"/>
        <v/>
      </c>
      <c r="U12" s="14">
        <v>1000</v>
      </c>
      <c r="V12" s="14">
        <v>1000</v>
      </c>
      <c r="W12" s="8">
        <f t="shared" si="4"/>
        <v>7.6999999999999999E-2</v>
      </c>
      <c r="X12" s="13" t="str">
        <f t="shared" si="5"/>
        <v/>
      </c>
      <c r="Y12" s="13" t="str">
        <f t="shared" si="6"/>
        <v/>
      </c>
      <c r="Z12" s="15" t="str">
        <f t="shared" si="7"/>
        <v/>
      </c>
      <c r="AA12" s="15">
        <f t="shared" si="8"/>
        <v>900</v>
      </c>
      <c r="AB12" s="15" t="str">
        <f t="shared" si="9"/>
        <v/>
      </c>
      <c r="AC12" s="13" t="str">
        <f t="shared" si="10"/>
        <v/>
      </c>
      <c r="AD12" s="8" t="str">
        <f t="shared" si="11"/>
        <v/>
      </c>
      <c r="AE12" s="1"/>
      <c r="AF12" s="1"/>
      <c r="AG12" s="1"/>
    </row>
    <row r="13" spans="1:33" ht="15">
      <c r="A13" s="1">
        <f t="shared" si="0"/>
        <v>10</v>
      </c>
      <c r="B13" s="1"/>
      <c r="C13" s="1"/>
      <c r="D13" s="1"/>
      <c r="E13" s="1"/>
      <c r="F13" s="6"/>
      <c r="G13" s="5"/>
      <c r="H13" s="1"/>
      <c r="I13" s="1"/>
      <c r="J13" s="1"/>
      <c r="K13" s="1"/>
      <c r="L13" s="1"/>
      <c r="M13" s="1"/>
      <c r="N13" s="1"/>
      <c r="O13" s="1"/>
      <c r="P13" s="1"/>
      <c r="Q13" s="7"/>
      <c r="R13" s="13" t="str">
        <f t="shared" si="1"/>
        <v/>
      </c>
      <c r="S13" s="13" t="str">
        <f t="shared" si="2"/>
        <v/>
      </c>
      <c r="T13" s="14" t="str">
        <f t="shared" si="3"/>
        <v/>
      </c>
      <c r="U13" s="14">
        <v>1000</v>
      </c>
      <c r="V13" s="14">
        <v>1000</v>
      </c>
      <c r="W13" s="8">
        <f t="shared" si="4"/>
        <v>7.6999999999999999E-2</v>
      </c>
      <c r="X13" s="13" t="str">
        <f t="shared" si="5"/>
        <v/>
      </c>
      <c r="Y13" s="13" t="str">
        <f t="shared" si="6"/>
        <v/>
      </c>
      <c r="Z13" s="15" t="str">
        <f t="shared" si="7"/>
        <v/>
      </c>
      <c r="AA13" s="15">
        <f t="shared" si="8"/>
        <v>900</v>
      </c>
      <c r="AB13" s="15" t="str">
        <f t="shared" si="9"/>
        <v/>
      </c>
      <c r="AC13" s="13" t="str">
        <f t="shared" si="10"/>
        <v/>
      </c>
      <c r="AD13" s="8" t="str">
        <f t="shared" si="11"/>
        <v/>
      </c>
      <c r="AE13" s="1"/>
      <c r="AF13" s="1"/>
      <c r="AG13" s="1"/>
    </row>
    <row r="14" spans="1:33" ht="15">
      <c r="A14" s="1">
        <f t="shared" si="0"/>
        <v>11</v>
      </c>
      <c r="B14" s="1"/>
      <c r="C14" s="1"/>
      <c r="D14" s="1"/>
      <c r="E14" s="1"/>
      <c r="F14" s="6"/>
      <c r="G14" s="5"/>
      <c r="H14" s="1"/>
      <c r="I14" s="1"/>
      <c r="J14" s="1"/>
      <c r="K14" s="1"/>
      <c r="L14" s="1"/>
      <c r="M14" s="1"/>
      <c r="N14" s="1"/>
      <c r="O14" s="1"/>
      <c r="P14" s="1"/>
      <c r="Q14" s="7"/>
      <c r="R14" s="13" t="str">
        <f t="shared" si="1"/>
        <v/>
      </c>
      <c r="S14" s="13" t="str">
        <f t="shared" si="2"/>
        <v/>
      </c>
      <c r="T14" s="14" t="str">
        <f t="shared" si="3"/>
        <v/>
      </c>
      <c r="U14" s="14">
        <v>1000</v>
      </c>
      <c r="V14" s="14">
        <v>1000</v>
      </c>
      <c r="W14" s="8">
        <f t="shared" si="4"/>
        <v>7.6999999999999999E-2</v>
      </c>
      <c r="X14" s="13" t="str">
        <f t="shared" si="5"/>
        <v/>
      </c>
      <c r="Y14" s="13" t="str">
        <f t="shared" si="6"/>
        <v/>
      </c>
      <c r="Z14" s="15" t="str">
        <f t="shared" si="7"/>
        <v/>
      </c>
      <c r="AA14" s="15">
        <f t="shared" si="8"/>
        <v>900</v>
      </c>
      <c r="AB14" s="15" t="str">
        <f t="shared" si="9"/>
        <v/>
      </c>
      <c r="AC14" s="13" t="str">
        <f t="shared" si="10"/>
        <v/>
      </c>
      <c r="AD14" s="8" t="str">
        <f t="shared" si="11"/>
        <v/>
      </c>
      <c r="AE14" s="1"/>
      <c r="AF14" s="1"/>
      <c r="AG14" s="1"/>
    </row>
    <row r="15" spans="1:33" ht="15">
      <c r="A15" s="1">
        <f t="shared" si="0"/>
        <v>12</v>
      </c>
      <c r="B15" s="1"/>
      <c r="C15" s="1"/>
      <c r="D15" s="1"/>
      <c r="E15" s="1"/>
      <c r="F15" s="6"/>
      <c r="G15" s="5"/>
      <c r="H15" s="1"/>
      <c r="I15" s="1"/>
      <c r="J15" s="1"/>
      <c r="K15" s="1"/>
      <c r="L15" s="1"/>
      <c r="M15" s="1"/>
      <c r="N15" s="1"/>
      <c r="O15" s="1"/>
      <c r="P15" s="1"/>
      <c r="Q15" s="7"/>
      <c r="R15" s="13" t="str">
        <f t="shared" si="1"/>
        <v/>
      </c>
      <c r="S15" s="13" t="str">
        <f t="shared" si="2"/>
        <v/>
      </c>
      <c r="T15" s="14" t="str">
        <f t="shared" si="3"/>
        <v/>
      </c>
      <c r="U15" s="14">
        <v>1000</v>
      </c>
      <c r="V15" s="14">
        <v>1000</v>
      </c>
      <c r="W15" s="8">
        <f t="shared" si="4"/>
        <v>7.6999999999999999E-2</v>
      </c>
      <c r="X15" s="13" t="str">
        <f t="shared" si="5"/>
        <v/>
      </c>
      <c r="Y15" s="13" t="str">
        <f t="shared" si="6"/>
        <v/>
      </c>
      <c r="Z15" s="15" t="str">
        <f t="shared" si="7"/>
        <v/>
      </c>
      <c r="AA15" s="15">
        <f t="shared" si="8"/>
        <v>900</v>
      </c>
      <c r="AB15" s="15" t="str">
        <f t="shared" si="9"/>
        <v/>
      </c>
      <c r="AC15" s="13" t="str">
        <f t="shared" si="10"/>
        <v/>
      </c>
      <c r="AD15" s="8" t="str">
        <f t="shared" si="11"/>
        <v/>
      </c>
      <c r="AE15" s="1"/>
      <c r="AF15" s="1"/>
      <c r="AG15" s="1"/>
    </row>
    <row r="16" spans="1:33" ht="15">
      <c r="A16" s="1">
        <f t="shared" si="0"/>
        <v>13</v>
      </c>
      <c r="B16" s="1"/>
      <c r="C16" s="1"/>
      <c r="D16" s="1"/>
      <c r="E16" s="1"/>
      <c r="F16" s="6"/>
      <c r="G16" s="5"/>
      <c r="H16" s="1"/>
      <c r="I16" s="1"/>
      <c r="J16" s="1"/>
      <c r="K16" s="1"/>
      <c r="L16" s="1"/>
      <c r="M16" s="1"/>
      <c r="N16" s="1"/>
      <c r="O16" s="1"/>
      <c r="P16" s="1"/>
      <c r="Q16" s="7"/>
      <c r="R16" s="13" t="str">
        <f t="shared" si="1"/>
        <v/>
      </c>
      <c r="S16" s="13" t="str">
        <f t="shared" si="2"/>
        <v/>
      </c>
      <c r="T16" s="14" t="str">
        <f t="shared" si="3"/>
        <v/>
      </c>
      <c r="U16" s="14">
        <v>1000</v>
      </c>
      <c r="V16" s="14">
        <v>1000</v>
      </c>
      <c r="W16" s="8">
        <f t="shared" si="4"/>
        <v>7.6999999999999999E-2</v>
      </c>
      <c r="X16" s="13" t="str">
        <f t="shared" si="5"/>
        <v/>
      </c>
      <c r="Y16" s="13" t="str">
        <f t="shared" si="6"/>
        <v/>
      </c>
      <c r="Z16" s="15" t="str">
        <f t="shared" si="7"/>
        <v/>
      </c>
      <c r="AA16" s="15">
        <f t="shared" si="8"/>
        <v>900</v>
      </c>
      <c r="AB16" s="15" t="str">
        <f t="shared" si="9"/>
        <v/>
      </c>
      <c r="AC16" s="13" t="str">
        <f t="shared" si="10"/>
        <v/>
      </c>
      <c r="AD16" s="8" t="str">
        <f t="shared" si="11"/>
        <v/>
      </c>
      <c r="AE16" s="1"/>
      <c r="AF16" s="1"/>
      <c r="AG16" s="1"/>
    </row>
    <row r="17" spans="1:33" ht="15">
      <c r="A17" s="1">
        <f t="shared" si="0"/>
        <v>14</v>
      </c>
      <c r="B17" s="1"/>
      <c r="C17" s="1"/>
      <c r="D17" s="1"/>
      <c r="E17" s="1"/>
      <c r="F17" s="6"/>
      <c r="G17" s="5"/>
      <c r="H17" s="1"/>
      <c r="I17" s="1"/>
      <c r="J17" s="1"/>
      <c r="K17" s="1"/>
      <c r="L17" s="1"/>
      <c r="M17" s="1"/>
      <c r="N17" s="1"/>
      <c r="O17" s="1"/>
      <c r="P17" s="1"/>
      <c r="Q17" s="7"/>
      <c r="R17" s="13" t="str">
        <f t="shared" si="1"/>
        <v/>
      </c>
      <c r="S17" s="13" t="str">
        <f t="shared" si="2"/>
        <v/>
      </c>
      <c r="T17" s="14" t="str">
        <f t="shared" si="3"/>
        <v/>
      </c>
      <c r="U17" s="14">
        <v>1000</v>
      </c>
      <c r="V17" s="14">
        <v>1000</v>
      </c>
      <c r="W17" s="8">
        <f t="shared" si="4"/>
        <v>7.6999999999999999E-2</v>
      </c>
      <c r="X17" s="13" t="str">
        <f t="shared" si="5"/>
        <v/>
      </c>
      <c r="Y17" s="13" t="str">
        <f t="shared" si="6"/>
        <v/>
      </c>
      <c r="Z17" s="15" t="str">
        <f t="shared" si="7"/>
        <v/>
      </c>
      <c r="AA17" s="15">
        <f t="shared" si="8"/>
        <v>900</v>
      </c>
      <c r="AB17" s="15" t="str">
        <f t="shared" si="9"/>
        <v/>
      </c>
      <c r="AC17" s="13" t="str">
        <f t="shared" si="10"/>
        <v/>
      </c>
      <c r="AD17" s="8" t="str">
        <f t="shared" si="11"/>
        <v/>
      </c>
      <c r="AE17" s="1"/>
      <c r="AF17" s="1"/>
      <c r="AG17" s="1"/>
    </row>
    <row r="18" spans="1:33" ht="15">
      <c r="A18" s="1">
        <f t="shared" si="0"/>
        <v>15</v>
      </c>
      <c r="B18" s="1"/>
      <c r="C18" s="1"/>
      <c r="D18" s="1"/>
      <c r="E18" s="1"/>
      <c r="F18" s="6"/>
      <c r="G18" s="5"/>
      <c r="H18" s="1"/>
      <c r="I18" s="1"/>
      <c r="J18" s="1"/>
      <c r="K18" s="1"/>
      <c r="L18" s="1"/>
      <c r="M18" s="1"/>
      <c r="N18" s="1"/>
      <c r="O18" s="1"/>
      <c r="P18" s="1"/>
      <c r="Q18" s="7"/>
      <c r="R18" s="13" t="str">
        <f t="shared" si="1"/>
        <v/>
      </c>
      <c r="S18" s="13" t="str">
        <f t="shared" si="2"/>
        <v/>
      </c>
      <c r="T18" s="14" t="str">
        <f t="shared" si="3"/>
        <v/>
      </c>
      <c r="U18" s="14">
        <v>1000</v>
      </c>
      <c r="V18" s="14">
        <v>1000</v>
      </c>
      <c r="W18" s="8">
        <f t="shared" si="4"/>
        <v>7.6999999999999999E-2</v>
      </c>
      <c r="X18" s="13" t="str">
        <f t="shared" si="5"/>
        <v/>
      </c>
      <c r="Y18" s="13" t="str">
        <f t="shared" si="6"/>
        <v/>
      </c>
      <c r="Z18" s="15" t="str">
        <f t="shared" si="7"/>
        <v/>
      </c>
      <c r="AA18" s="15">
        <f t="shared" si="8"/>
        <v>900</v>
      </c>
      <c r="AB18" s="15" t="str">
        <f t="shared" si="9"/>
        <v/>
      </c>
      <c r="AC18" s="13" t="str">
        <f t="shared" si="10"/>
        <v/>
      </c>
      <c r="AD18" s="8" t="str">
        <f t="shared" si="11"/>
        <v/>
      </c>
      <c r="AE18" s="1"/>
      <c r="AF18" s="1"/>
      <c r="AG18" s="1"/>
    </row>
    <row r="19" spans="1:33" ht="15">
      <c r="A19" s="1">
        <f t="shared" si="0"/>
        <v>16</v>
      </c>
      <c r="B19" s="1"/>
      <c r="C19" s="1"/>
      <c r="D19" s="1"/>
      <c r="E19" s="1"/>
      <c r="F19" s="6"/>
      <c r="G19" s="5"/>
      <c r="H19" s="1"/>
      <c r="I19" s="1"/>
      <c r="J19" s="1"/>
      <c r="K19" s="1"/>
      <c r="L19" s="1"/>
      <c r="M19" s="1"/>
      <c r="N19" s="1"/>
      <c r="O19" s="1"/>
      <c r="P19" s="1"/>
      <c r="Q19" s="7"/>
      <c r="R19" s="13" t="str">
        <f t="shared" si="1"/>
        <v/>
      </c>
      <c r="S19" s="13" t="str">
        <f t="shared" si="2"/>
        <v/>
      </c>
      <c r="T19" s="14" t="str">
        <f t="shared" si="3"/>
        <v/>
      </c>
      <c r="U19" s="14">
        <v>1000</v>
      </c>
      <c r="V19" s="14">
        <v>1000</v>
      </c>
      <c r="W19" s="8">
        <f t="shared" si="4"/>
        <v>7.6999999999999999E-2</v>
      </c>
      <c r="X19" s="13" t="str">
        <f t="shared" si="5"/>
        <v/>
      </c>
      <c r="Y19" s="13" t="str">
        <f t="shared" si="6"/>
        <v/>
      </c>
      <c r="Z19" s="15" t="str">
        <f t="shared" si="7"/>
        <v/>
      </c>
      <c r="AA19" s="15">
        <f t="shared" si="8"/>
        <v>900</v>
      </c>
      <c r="AB19" s="15" t="str">
        <f t="shared" si="9"/>
        <v/>
      </c>
      <c r="AC19" s="13" t="str">
        <f t="shared" si="10"/>
        <v/>
      </c>
      <c r="AD19" s="8" t="str">
        <f t="shared" si="11"/>
        <v/>
      </c>
      <c r="AE19" s="1"/>
      <c r="AF19" s="1"/>
      <c r="AG19" s="1"/>
    </row>
    <row r="20" spans="1:33" ht="15">
      <c r="A20" s="1">
        <f t="shared" si="0"/>
        <v>17</v>
      </c>
      <c r="B20" s="1"/>
      <c r="C20" s="1"/>
      <c r="D20" s="1"/>
      <c r="E20" s="1"/>
      <c r="F20" s="6"/>
      <c r="G20" s="5"/>
      <c r="H20" s="1"/>
      <c r="I20" s="1"/>
      <c r="J20" s="1"/>
      <c r="K20" s="1"/>
      <c r="L20" s="1"/>
      <c r="M20" s="1"/>
      <c r="N20" s="1"/>
      <c r="O20" s="1"/>
      <c r="P20" s="1"/>
      <c r="Q20" s="7"/>
      <c r="R20" s="13" t="str">
        <f t="shared" si="1"/>
        <v/>
      </c>
      <c r="S20" s="13" t="str">
        <f t="shared" si="2"/>
        <v/>
      </c>
      <c r="T20" s="14" t="str">
        <f t="shared" si="3"/>
        <v/>
      </c>
      <c r="U20" s="14">
        <v>1000</v>
      </c>
      <c r="V20" s="14">
        <v>1000</v>
      </c>
      <c r="W20" s="8">
        <f t="shared" si="4"/>
        <v>7.6999999999999999E-2</v>
      </c>
      <c r="X20" s="13" t="str">
        <f t="shared" si="5"/>
        <v/>
      </c>
      <c r="Y20" s="13" t="str">
        <f t="shared" si="6"/>
        <v/>
      </c>
      <c r="Z20" s="15" t="str">
        <f t="shared" si="7"/>
        <v/>
      </c>
      <c r="AA20" s="15">
        <f t="shared" si="8"/>
        <v>900</v>
      </c>
      <c r="AB20" s="15" t="str">
        <f t="shared" si="9"/>
        <v/>
      </c>
      <c r="AC20" s="13" t="str">
        <f t="shared" si="10"/>
        <v/>
      </c>
      <c r="AD20" s="8" t="str">
        <f t="shared" si="11"/>
        <v/>
      </c>
      <c r="AE20" s="1"/>
      <c r="AF20" s="1"/>
      <c r="AG20" s="1"/>
    </row>
    <row r="21" spans="1:33" ht="15">
      <c r="A21" s="1">
        <f t="shared" si="0"/>
        <v>18</v>
      </c>
      <c r="B21" s="1"/>
      <c r="C21" s="1"/>
      <c r="D21" s="1"/>
      <c r="E21" s="1"/>
      <c r="F21" s="6"/>
      <c r="G21" s="5"/>
      <c r="H21" s="1"/>
      <c r="I21" s="1"/>
      <c r="J21" s="1"/>
      <c r="K21" s="1"/>
      <c r="L21" s="1"/>
      <c r="M21" s="1"/>
      <c r="N21" s="1"/>
      <c r="O21" s="1"/>
      <c r="P21" s="1"/>
      <c r="Q21" s="7"/>
      <c r="R21" s="13" t="str">
        <f t="shared" si="1"/>
        <v/>
      </c>
      <c r="S21" s="13" t="str">
        <f t="shared" si="2"/>
        <v/>
      </c>
      <c r="T21" s="14" t="str">
        <f t="shared" si="3"/>
        <v/>
      </c>
      <c r="U21" s="14">
        <v>1000</v>
      </c>
      <c r="V21" s="14">
        <v>1000</v>
      </c>
      <c r="W21" s="8">
        <f t="shared" si="4"/>
        <v>7.6999999999999999E-2</v>
      </c>
      <c r="X21" s="13" t="str">
        <f t="shared" si="5"/>
        <v/>
      </c>
      <c r="Y21" s="13" t="str">
        <f t="shared" si="6"/>
        <v/>
      </c>
      <c r="Z21" s="15" t="str">
        <f t="shared" si="7"/>
        <v/>
      </c>
      <c r="AA21" s="15">
        <f t="shared" si="8"/>
        <v>900</v>
      </c>
      <c r="AB21" s="15" t="str">
        <f t="shared" si="9"/>
        <v/>
      </c>
      <c r="AC21" s="13" t="str">
        <f t="shared" si="10"/>
        <v/>
      </c>
      <c r="AD21" s="8" t="str">
        <f t="shared" si="11"/>
        <v/>
      </c>
      <c r="AE21" s="1"/>
      <c r="AF21" s="1"/>
      <c r="AG21" s="1"/>
    </row>
    <row r="22" spans="1:33" ht="15">
      <c r="A22" s="1">
        <f t="shared" si="0"/>
        <v>19</v>
      </c>
      <c r="B22" s="1"/>
      <c r="C22" s="1"/>
      <c r="D22" s="1"/>
      <c r="E22" s="1"/>
      <c r="F22" s="6"/>
      <c r="G22" s="5"/>
      <c r="H22" s="1"/>
      <c r="I22" s="1"/>
      <c r="J22" s="1"/>
      <c r="K22" s="1"/>
      <c r="L22" s="1"/>
      <c r="M22" s="1"/>
      <c r="N22" s="1"/>
      <c r="O22" s="1"/>
      <c r="P22" s="1"/>
      <c r="Q22" s="7"/>
      <c r="R22" s="13" t="str">
        <f t="shared" si="1"/>
        <v/>
      </c>
      <c r="S22" s="13" t="str">
        <f t="shared" si="2"/>
        <v/>
      </c>
      <c r="T22" s="14" t="str">
        <f t="shared" si="3"/>
        <v/>
      </c>
      <c r="U22" s="14">
        <v>1000</v>
      </c>
      <c r="V22" s="14">
        <v>1000</v>
      </c>
      <c r="W22" s="8">
        <f t="shared" si="4"/>
        <v>7.6999999999999999E-2</v>
      </c>
      <c r="X22" s="13" t="str">
        <f t="shared" si="5"/>
        <v/>
      </c>
      <c r="Y22" s="13" t="str">
        <f t="shared" si="6"/>
        <v/>
      </c>
      <c r="Z22" s="15" t="str">
        <f t="shared" si="7"/>
        <v/>
      </c>
      <c r="AA22" s="15">
        <f t="shared" si="8"/>
        <v>900</v>
      </c>
      <c r="AB22" s="15" t="str">
        <f t="shared" si="9"/>
        <v/>
      </c>
      <c r="AC22" s="13" t="str">
        <f t="shared" si="10"/>
        <v/>
      </c>
      <c r="AD22" s="8" t="str">
        <f t="shared" si="11"/>
        <v/>
      </c>
      <c r="AE22" s="1"/>
      <c r="AF22" s="1"/>
      <c r="AG22" s="1"/>
    </row>
    <row r="23" spans="1:33" ht="15">
      <c r="A23" s="1">
        <f t="shared" si="0"/>
        <v>20</v>
      </c>
      <c r="B23" s="1"/>
      <c r="C23" s="1"/>
      <c r="D23" s="1"/>
      <c r="E23" s="1"/>
      <c r="F23" s="6"/>
      <c r="G23" s="5"/>
      <c r="H23" s="1"/>
      <c r="I23" s="1"/>
      <c r="J23" s="1"/>
      <c r="K23" s="1"/>
      <c r="L23" s="1"/>
      <c r="M23" s="1"/>
      <c r="N23" s="1"/>
      <c r="O23" s="1"/>
      <c r="P23" s="1"/>
      <c r="Q23" s="7"/>
      <c r="R23" s="13" t="str">
        <f t="shared" si="1"/>
        <v/>
      </c>
      <c r="S23" s="13" t="str">
        <f t="shared" si="2"/>
        <v/>
      </c>
      <c r="T23" s="14" t="str">
        <f t="shared" si="3"/>
        <v/>
      </c>
      <c r="U23" s="14">
        <v>1000</v>
      </c>
      <c r="V23" s="14">
        <v>1000</v>
      </c>
      <c r="W23" s="8">
        <f t="shared" si="4"/>
        <v>7.6999999999999999E-2</v>
      </c>
      <c r="X23" s="13" t="str">
        <f t="shared" si="5"/>
        <v/>
      </c>
      <c r="Y23" s="13" t="str">
        <f t="shared" si="6"/>
        <v/>
      </c>
      <c r="Z23" s="15" t="str">
        <f t="shared" si="7"/>
        <v/>
      </c>
      <c r="AA23" s="15">
        <f t="shared" si="8"/>
        <v>900</v>
      </c>
      <c r="AB23" s="15" t="str">
        <f t="shared" si="9"/>
        <v/>
      </c>
      <c r="AC23" s="13" t="str">
        <f t="shared" si="10"/>
        <v/>
      </c>
      <c r="AD23" s="8" t="str">
        <f t="shared" si="11"/>
        <v/>
      </c>
      <c r="AE23" s="1"/>
      <c r="AF23" s="1"/>
      <c r="AG23" s="1"/>
    </row>
    <row r="24" spans="1:33" ht="15">
      <c r="A24" s="1">
        <f t="shared" si="0"/>
        <v>21</v>
      </c>
      <c r="B24" s="1"/>
      <c r="C24" s="1"/>
      <c r="D24" s="1"/>
      <c r="E24" s="1"/>
      <c r="F24" s="6"/>
      <c r="G24" s="5"/>
      <c r="H24" s="1"/>
      <c r="I24" s="1"/>
      <c r="J24" s="1"/>
      <c r="K24" s="1"/>
      <c r="L24" s="1"/>
      <c r="M24" s="1"/>
      <c r="N24" s="1"/>
      <c r="O24" s="1"/>
      <c r="P24" s="1"/>
      <c r="Q24" s="7"/>
      <c r="R24" s="13" t="str">
        <f t="shared" si="1"/>
        <v/>
      </c>
      <c r="S24" s="13" t="str">
        <f t="shared" si="2"/>
        <v/>
      </c>
      <c r="T24" s="14" t="str">
        <f t="shared" si="3"/>
        <v/>
      </c>
      <c r="U24" s="14">
        <v>1000</v>
      </c>
      <c r="V24" s="14">
        <v>1000</v>
      </c>
      <c r="W24" s="8">
        <f t="shared" si="4"/>
        <v>7.6999999999999999E-2</v>
      </c>
      <c r="X24" s="13" t="str">
        <f t="shared" si="5"/>
        <v/>
      </c>
      <c r="Y24" s="13" t="str">
        <f t="shared" si="6"/>
        <v/>
      </c>
      <c r="Z24" s="15" t="str">
        <f t="shared" si="7"/>
        <v/>
      </c>
      <c r="AA24" s="15">
        <f t="shared" si="8"/>
        <v>900</v>
      </c>
      <c r="AB24" s="15" t="str">
        <f t="shared" si="9"/>
        <v/>
      </c>
      <c r="AC24" s="13" t="str">
        <f t="shared" si="10"/>
        <v/>
      </c>
      <c r="AD24" s="8" t="str">
        <f t="shared" si="11"/>
        <v/>
      </c>
      <c r="AE24" s="1"/>
      <c r="AF24" s="1"/>
      <c r="AG24" s="1"/>
    </row>
    <row r="25" spans="1:33" ht="15">
      <c r="A25" s="1">
        <f t="shared" si="0"/>
        <v>22</v>
      </c>
      <c r="B25" s="1"/>
      <c r="C25" s="1"/>
      <c r="D25" s="1"/>
      <c r="E25" s="1"/>
      <c r="F25" s="6"/>
      <c r="G25" s="5"/>
      <c r="H25" s="1"/>
      <c r="I25" s="1"/>
      <c r="J25" s="1"/>
      <c r="K25" s="1"/>
      <c r="L25" s="1"/>
      <c r="M25" s="1"/>
      <c r="N25" s="1"/>
      <c r="O25" s="1"/>
      <c r="P25" s="1"/>
      <c r="Q25" s="7"/>
      <c r="R25" s="13" t="str">
        <f t="shared" si="1"/>
        <v/>
      </c>
      <c r="S25" s="13" t="str">
        <f t="shared" si="2"/>
        <v/>
      </c>
      <c r="T25" s="14" t="str">
        <f t="shared" si="3"/>
        <v/>
      </c>
      <c r="U25" s="14">
        <v>1000</v>
      </c>
      <c r="V25" s="14">
        <v>1000</v>
      </c>
      <c r="W25" s="8">
        <f t="shared" si="4"/>
        <v>7.6999999999999999E-2</v>
      </c>
      <c r="X25" s="13" t="str">
        <f t="shared" si="5"/>
        <v/>
      </c>
      <c r="Y25" s="13" t="str">
        <f t="shared" si="6"/>
        <v/>
      </c>
      <c r="Z25" s="15" t="str">
        <f t="shared" si="7"/>
        <v/>
      </c>
      <c r="AA25" s="15">
        <f t="shared" si="8"/>
        <v>900</v>
      </c>
      <c r="AB25" s="15" t="str">
        <f t="shared" si="9"/>
        <v/>
      </c>
      <c r="AC25" s="13" t="str">
        <f t="shared" si="10"/>
        <v/>
      </c>
      <c r="AD25" s="8" t="str">
        <f t="shared" si="11"/>
        <v/>
      </c>
      <c r="AE25" s="1"/>
      <c r="AF25" s="1"/>
      <c r="AG25" s="1"/>
    </row>
    <row r="26" spans="1:33" ht="15">
      <c r="A26" s="1">
        <f t="shared" si="0"/>
        <v>23</v>
      </c>
      <c r="B26" s="1"/>
      <c r="C26" s="1"/>
      <c r="D26" s="1"/>
      <c r="E26" s="1"/>
      <c r="F26" s="6"/>
      <c r="G26" s="5"/>
      <c r="H26" s="1"/>
      <c r="I26" s="1"/>
      <c r="J26" s="1"/>
      <c r="K26" s="1"/>
      <c r="L26" s="1"/>
      <c r="M26" s="1"/>
      <c r="N26" s="1"/>
      <c r="O26" s="1"/>
      <c r="P26" s="1"/>
      <c r="Q26" s="7"/>
      <c r="R26" s="13" t="str">
        <f t="shared" si="1"/>
        <v/>
      </c>
      <c r="S26" s="13" t="str">
        <f t="shared" si="2"/>
        <v/>
      </c>
      <c r="T26" s="14" t="str">
        <f t="shared" si="3"/>
        <v/>
      </c>
      <c r="U26" s="14">
        <v>1000</v>
      </c>
      <c r="V26" s="14">
        <v>1000</v>
      </c>
      <c r="W26" s="8">
        <f t="shared" si="4"/>
        <v>7.6999999999999999E-2</v>
      </c>
      <c r="X26" s="13" t="str">
        <f t="shared" si="5"/>
        <v/>
      </c>
      <c r="Y26" s="13" t="str">
        <f t="shared" si="6"/>
        <v/>
      </c>
      <c r="Z26" s="15" t="str">
        <f t="shared" si="7"/>
        <v/>
      </c>
      <c r="AA26" s="15">
        <f t="shared" si="8"/>
        <v>900</v>
      </c>
      <c r="AB26" s="15" t="str">
        <f t="shared" si="9"/>
        <v/>
      </c>
      <c r="AC26" s="13" t="str">
        <f t="shared" si="10"/>
        <v/>
      </c>
      <c r="AD26" s="8" t="str">
        <f t="shared" si="11"/>
        <v/>
      </c>
      <c r="AE26" s="1"/>
      <c r="AF26" s="1"/>
      <c r="AG26" s="1"/>
    </row>
    <row r="27" spans="1:33" ht="15">
      <c r="A27" s="1">
        <f t="shared" si="0"/>
        <v>24</v>
      </c>
      <c r="B27" s="1"/>
      <c r="C27" s="1"/>
      <c r="D27" s="1"/>
      <c r="E27" s="1"/>
      <c r="F27" s="6"/>
      <c r="G27" s="5"/>
      <c r="H27" s="1"/>
      <c r="I27" s="1"/>
      <c r="J27" s="1"/>
      <c r="K27" s="1"/>
      <c r="L27" s="1"/>
      <c r="M27" s="1"/>
      <c r="N27" s="1"/>
      <c r="O27" s="1"/>
      <c r="P27" s="1"/>
      <c r="Q27" s="7"/>
      <c r="R27" s="13" t="str">
        <f t="shared" si="1"/>
        <v/>
      </c>
      <c r="S27" s="13" t="str">
        <f t="shared" si="2"/>
        <v/>
      </c>
      <c r="T27" s="14" t="str">
        <f t="shared" si="3"/>
        <v/>
      </c>
      <c r="U27" s="14">
        <v>1000</v>
      </c>
      <c r="V27" s="14">
        <v>1000</v>
      </c>
      <c r="W27" s="8">
        <f t="shared" si="4"/>
        <v>7.6999999999999999E-2</v>
      </c>
      <c r="X27" s="13" t="str">
        <f t="shared" si="5"/>
        <v/>
      </c>
      <c r="Y27" s="13" t="str">
        <f t="shared" si="6"/>
        <v/>
      </c>
      <c r="Z27" s="15" t="str">
        <f t="shared" si="7"/>
        <v/>
      </c>
      <c r="AA27" s="15">
        <f t="shared" si="8"/>
        <v>900</v>
      </c>
      <c r="AB27" s="15" t="str">
        <f t="shared" si="9"/>
        <v/>
      </c>
      <c r="AC27" s="13" t="str">
        <f t="shared" si="10"/>
        <v/>
      </c>
      <c r="AD27" s="8" t="str">
        <f t="shared" si="11"/>
        <v/>
      </c>
      <c r="AE27" s="1"/>
      <c r="AF27" s="1"/>
      <c r="AG27" s="1"/>
    </row>
    <row r="28" spans="1:33" ht="15">
      <c r="A28" s="1">
        <f t="shared" si="0"/>
        <v>25</v>
      </c>
      <c r="B28" s="1"/>
      <c r="C28" s="1"/>
      <c r="D28" s="1"/>
      <c r="E28" s="1"/>
      <c r="F28" s="6"/>
      <c r="G28" s="5"/>
      <c r="H28" s="1"/>
      <c r="I28" s="1"/>
      <c r="J28" s="1"/>
      <c r="K28" s="1"/>
      <c r="L28" s="1"/>
      <c r="M28" s="1"/>
      <c r="N28" s="1"/>
      <c r="O28" s="1"/>
      <c r="P28" s="1"/>
      <c r="Q28" s="7"/>
      <c r="R28" s="13" t="str">
        <f t="shared" si="1"/>
        <v/>
      </c>
      <c r="S28" s="13" t="str">
        <f t="shared" si="2"/>
        <v/>
      </c>
      <c r="T28" s="14" t="str">
        <f t="shared" si="3"/>
        <v/>
      </c>
      <c r="U28" s="14">
        <v>1000</v>
      </c>
      <c r="V28" s="14">
        <v>1000</v>
      </c>
      <c r="W28" s="8">
        <f t="shared" si="4"/>
        <v>7.6999999999999999E-2</v>
      </c>
      <c r="X28" s="13" t="str">
        <f t="shared" si="5"/>
        <v/>
      </c>
      <c r="Y28" s="13" t="str">
        <f t="shared" si="6"/>
        <v/>
      </c>
      <c r="Z28" s="15" t="str">
        <f t="shared" si="7"/>
        <v/>
      </c>
      <c r="AA28" s="15">
        <f t="shared" si="8"/>
        <v>900</v>
      </c>
      <c r="AB28" s="15" t="str">
        <f t="shared" si="9"/>
        <v/>
      </c>
      <c r="AC28" s="13" t="str">
        <f t="shared" si="10"/>
        <v/>
      </c>
      <c r="AD28" s="8" t="str">
        <f t="shared" si="11"/>
        <v/>
      </c>
      <c r="AE28" s="1"/>
      <c r="AF28" s="1"/>
      <c r="AG28" s="1"/>
    </row>
    <row r="29" spans="1:33" ht="15">
      <c r="A29" s="1">
        <f t="shared" si="0"/>
        <v>26</v>
      </c>
      <c r="B29" s="1"/>
      <c r="C29" s="1"/>
      <c r="D29" s="1"/>
      <c r="E29" s="1"/>
      <c r="F29" s="6"/>
      <c r="G29" s="5"/>
      <c r="H29" s="1"/>
      <c r="I29" s="1"/>
      <c r="J29" s="1"/>
      <c r="K29" s="1"/>
      <c r="L29" s="1"/>
      <c r="M29" s="1"/>
      <c r="N29" s="1"/>
      <c r="O29" s="1"/>
      <c r="P29" s="1"/>
      <c r="Q29" s="7"/>
      <c r="R29" s="13" t="str">
        <f t="shared" si="1"/>
        <v/>
      </c>
      <c r="S29" s="13" t="str">
        <f t="shared" si="2"/>
        <v/>
      </c>
      <c r="T29" s="14" t="str">
        <f t="shared" si="3"/>
        <v/>
      </c>
      <c r="U29" s="14">
        <v>1000</v>
      </c>
      <c r="V29" s="14">
        <v>1000</v>
      </c>
      <c r="W29" s="8">
        <f t="shared" si="4"/>
        <v>7.6999999999999999E-2</v>
      </c>
      <c r="X29" s="13" t="str">
        <f t="shared" si="5"/>
        <v/>
      </c>
      <c r="Y29" s="13" t="str">
        <f t="shared" si="6"/>
        <v/>
      </c>
      <c r="Z29" s="15" t="str">
        <f t="shared" si="7"/>
        <v/>
      </c>
      <c r="AA29" s="15">
        <f t="shared" si="8"/>
        <v>900</v>
      </c>
      <c r="AB29" s="15" t="str">
        <f t="shared" si="9"/>
        <v/>
      </c>
      <c r="AC29" s="13" t="str">
        <f t="shared" si="10"/>
        <v/>
      </c>
      <c r="AD29" s="8" t="str">
        <f t="shared" si="11"/>
        <v/>
      </c>
      <c r="AE29" s="1"/>
      <c r="AF29" s="1"/>
      <c r="AG29" s="1"/>
    </row>
    <row r="30" spans="1:33" ht="15">
      <c r="A30" s="1">
        <f t="shared" si="0"/>
        <v>27</v>
      </c>
      <c r="B30" s="1"/>
      <c r="C30" s="1"/>
      <c r="D30" s="1"/>
      <c r="E30" s="1"/>
      <c r="F30" s="6"/>
      <c r="G30" s="5"/>
      <c r="H30" s="1"/>
      <c r="I30" s="1"/>
      <c r="J30" s="1"/>
      <c r="K30" s="1"/>
      <c r="L30" s="1"/>
      <c r="M30" s="1"/>
      <c r="N30" s="1"/>
      <c r="O30" s="1"/>
      <c r="P30" s="1"/>
      <c r="Q30" s="7"/>
      <c r="R30" s="13" t="str">
        <f t="shared" si="1"/>
        <v/>
      </c>
      <c r="S30" s="13" t="str">
        <f t="shared" si="2"/>
        <v/>
      </c>
      <c r="T30" s="14" t="str">
        <f t="shared" si="3"/>
        <v/>
      </c>
      <c r="U30" s="14">
        <v>1000</v>
      </c>
      <c r="V30" s="14">
        <v>1000</v>
      </c>
      <c r="W30" s="8">
        <f t="shared" si="4"/>
        <v>7.6999999999999999E-2</v>
      </c>
      <c r="X30" s="13" t="str">
        <f t="shared" si="5"/>
        <v/>
      </c>
      <c r="Y30" s="13" t="str">
        <f t="shared" si="6"/>
        <v/>
      </c>
      <c r="Z30" s="15" t="str">
        <f t="shared" si="7"/>
        <v/>
      </c>
      <c r="AA30" s="15">
        <f t="shared" si="8"/>
        <v>900</v>
      </c>
      <c r="AB30" s="15" t="str">
        <f t="shared" si="9"/>
        <v/>
      </c>
      <c r="AC30" s="13" t="str">
        <f t="shared" si="10"/>
        <v/>
      </c>
      <c r="AD30" s="8" t="str">
        <f t="shared" si="11"/>
        <v/>
      </c>
      <c r="AE30" s="1"/>
      <c r="AF30" s="1"/>
      <c r="AG30" s="1"/>
    </row>
    <row r="31" spans="1:33" ht="15">
      <c r="A31" s="1">
        <f t="shared" si="0"/>
        <v>28</v>
      </c>
      <c r="B31" s="1"/>
      <c r="C31" s="1"/>
      <c r="D31" s="1"/>
      <c r="E31" s="1"/>
      <c r="F31" s="6"/>
      <c r="G31" s="5"/>
      <c r="H31" s="1"/>
      <c r="I31" s="1"/>
      <c r="J31" s="1"/>
      <c r="K31" s="1"/>
      <c r="L31" s="1"/>
      <c r="M31" s="1"/>
      <c r="N31" s="1"/>
      <c r="O31" s="1"/>
      <c r="P31" s="1"/>
      <c r="Q31" s="7"/>
      <c r="R31" s="13" t="str">
        <f t="shared" si="1"/>
        <v/>
      </c>
      <c r="S31" s="13" t="str">
        <f t="shared" si="2"/>
        <v/>
      </c>
      <c r="T31" s="14" t="str">
        <f t="shared" si="3"/>
        <v/>
      </c>
      <c r="U31" s="14">
        <v>1000</v>
      </c>
      <c r="V31" s="14">
        <v>1000</v>
      </c>
      <c r="W31" s="8">
        <f t="shared" si="4"/>
        <v>7.6999999999999999E-2</v>
      </c>
      <c r="X31" s="13" t="str">
        <f t="shared" si="5"/>
        <v/>
      </c>
      <c r="Y31" s="13" t="str">
        <f t="shared" si="6"/>
        <v/>
      </c>
      <c r="Z31" s="15" t="str">
        <f t="shared" si="7"/>
        <v/>
      </c>
      <c r="AA31" s="15">
        <f t="shared" si="8"/>
        <v>900</v>
      </c>
      <c r="AB31" s="15" t="str">
        <f t="shared" si="9"/>
        <v/>
      </c>
      <c r="AC31" s="13" t="str">
        <f t="shared" si="10"/>
        <v/>
      </c>
      <c r="AD31" s="8" t="str">
        <f t="shared" si="11"/>
        <v/>
      </c>
      <c r="AE31" s="1"/>
      <c r="AF31" s="1"/>
      <c r="AG31" s="1"/>
    </row>
    <row r="32" spans="1:33" ht="15">
      <c r="A32" s="1">
        <f t="shared" si="0"/>
        <v>29</v>
      </c>
      <c r="B32" s="1"/>
      <c r="C32" s="1"/>
      <c r="D32" s="1"/>
      <c r="E32" s="1"/>
      <c r="F32" s="6"/>
      <c r="G32" s="5"/>
      <c r="H32" s="1"/>
      <c r="I32" s="1"/>
      <c r="J32" s="1"/>
      <c r="K32" s="1"/>
      <c r="L32" s="1"/>
      <c r="M32" s="1"/>
      <c r="N32" s="1"/>
      <c r="O32" s="1"/>
      <c r="P32" s="1"/>
      <c r="Q32" s="7"/>
      <c r="R32" s="13" t="str">
        <f t="shared" si="1"/>
        <v/>
      </c>
      <c r="S32" s="13" t="str">
        <f t="shared" si="2"/>
        <v/>
      </c>
      <c r="T32" s="14" t="str">
        <f t="shared" si="3"/>
        <v/>
      </c>
      <c r="U32" s="14">
        <v>1000</v>
      </c>
      <c r="V32" s="14">
        <v>1000</v>
      </c>
      <c r="W32" s="8">
        <f t="shared" si="4"/>
        <v>7.6999999999999999E-2</v>
      </c>
      <c r="X32" s="13" t="str">
        <f t="shared" si="5"/>
        <v/>
      </c>
      <c r="Y32" s="13" t="str">
        <f t="shared" si="6"/>
        <v/>
      </c>
      <c r="Z32" s="15" t="str">
        <f t="shared" si="7"/>
        <v/>
      </c>
      <c r="AA32" s="15">
        <f t="shared" si="8"/>
        <v>900</v>
      </c>
      <c r="AB32" s="15" t="str">
        <f t="shared" si="9"/>
        <v/>
      </c>
      <c r="AC32" s="13" t="str">
        <f t="shared" si="10"/>
        <v/>
      </c>
      <c r="AD32" s="8" t="str">
        <f t="shared" si="11"/>
        <v/>
      </c>
      <c r="AE32" s="1"/>
      <c r="AF32" s="1"/>
      <c r="AG32" s="1"/>
    </row>
    <row r="33" spans="1:33" ht="15">
      <c r="A33" s="1">
        <f t="shared" si="0"/>
        <v>30</v>
      </c>
      <c r="B33" s="1"/>
      <c r="C33" s="1"/>
      <c r="D33" s="1"/>
      <c r="E33" s="1"/>
      <c r="F33" s="6"/>
      <c r="G33" s="5"/>
      <c r="H33" s="1"/>
      <c r="I33" s="1"/>
      <c r="J33" s="1"/>
      <c r="K33" s="1"/>
      <c r="L33" s="1"/>
      <c r="M33" s="1"/>
      <c r="N33" s="1"/>
      <c r="O33" s="1"/>
      <c r="P33" s="1"/>
      <c r="Q33" s="7"/>
      <c r="R33" s="13" t="str">
        <f t="shared" si="1"/>
        <v/>
      </c>
      <c r="S33" s="13" t="str">
        <f t="shared" si="2"/>
        <v/>
      </c>
      <c r="T33" s="14" t="str">
        <f t="shared" si="3"/>
        <v/>
      </c>
      <c r="U33" s="14">
        <v>1000</v>
      </c>
      <c r="V33" s="14">
        <v>1000</v>
      </c>
      <c r="W33" s="8">
        <f t="shared" si="4"/>
        <v>7.6999999999999999E-2</v>
      </c>
      <c r="X33" s="13" t="str">
        <f t="shared" si="5"/>
        <v/>
      </c>
      <c r="Y33" s="13" t="str">
        <f t="shared" si="6"/>
        <v/>
      </c>
      <c r="Z33" s="15" t="str">
        <f t="shared" si="7"/>
        <v/>
      </c>
      <c r="AA33" s="15">
        <f t="shared" si="8"/>
        <v>900</v>
      </c>
      <c r="AB33" s="15" t="str">
        <f t="shared" si="9"/>
        <v/>
      </c>
      <c r="AC33" s="13" t="str">
        <f t="shared" si="10"/>
        <v/>
      </c>
      <c r="AD33" s="8" t="str">
        <f t="shared" si="11"/>
        <v/>
      </c>
      <c r="AE33" s="1"/>
      <c r="AF33" s="1"/>
      <c r="AG33" s="1"/>
    </row>
    <row r="34" spans="1:33" ht="15">
      <c r="A34" s="1">
        <f t="shared" si="0"/>
        <v>31</v>
      </c>
      <c r="B34" s="1"/>
      <c r="C34" s="1"/>
      <c r="D34" s="1"/>
      <c r="E34" s="1"/>
      <c r="F34" s="6"/>
      <c r="G34" s="5"/>
      <c r="H34" s="1"/>
      <c r="I34" s="1"/>
      <c r="J34" s="1"/>
      <c r="K34" s="1"/>
      <c r="L34" s="1"/>
      <c r="M34" s="1"/>
      <c r="N34" s="1"/>
      <c r="O34" s="1"/>
      <c r="P34" s="1"/>
      <c r="Q34" s="7"/>
      <c r="R34" s="13" t="str">
        <f t="shared" si="1"/>
        <v/>
      </c>
      <c r="S34" s="13" t="str">
        <f t="shared" si="2"/>
        <v/>
      </c>
      <c r="T34" s="14" t="str">
        <f t="shared" si="3"/>
        <v/>
      </c>
      <c r="U34" s="14">
        <v>1000</v>
      </c>
      <c r="V34" s="14">
        <v>1000</v>
      </c>
      <c r="W34" s="8">
        <f t="shared" si="4"/>
        <v>7.6999999999999999E-2</v>
      </c>
      <c r="X34" s="13" t="str">
        <f t="shared" si="5"/>
        <v/>
      </c>
      <c r="Y34" s="13" t="str">
        <f t="shared" si="6"/>
        <v/>
      </c>
      <c r="Z34" s="15" t="str">
        <f t="shared" si="7"/>
        <v/>
      </c>
      <c r="AA34" s="15">
        <f t="shared" si="8"/>
        <v>900</v>
      </c>
      <c r="AB34" s="15" t="str">
        <f t="shared" si="9"/>
        <v/>
      </c>
      <c r="AC34" s="13" t="str">
        <f t="shared" si="10"/>
        <v/>
      </c>
      <c r="AD34" s="8" t="str">
        <f t="shared" si="11"/>
        <v/>
      </c>
      <c r="AE34" s="1"/>
      <c r="AF34" s="1"/>
      <c r="AG34" s="1"/>
    </row>
    <row r="35" spans="1:33" ht="15">
      <c r="A35" s="1">
        <f t="shared" si="0"/>
        <v>32</v>
      </c>
      <c r="B35" s="1"/>
      <c r="C35" s="1"/>
      <c r="D35" s="1"/>
      <c r="E35" s="1"/>
      <c r="F35" s="6"/>
      <c r="G35" s="5"/>
      <c r="H35" s="1"/>
      <c r="I35" s="1"/>
      <c r="J35" s="1"/>
      <c r="K35" s="1"/>
      <c r="L35" s="1"/>
      <c r="M35" s="1"/>
      <c r="N35" s="1"/>
      <c r="O35" s="1"/>
      <c r="P35" s="1"/>
      <c r="Q35" s="7"/>
      <c r="R35" s="13" t="str">
        <f t="shared" si="1"/>
        <v/>
      </c>
      <c r="S35" s="13" t="str">
        <f t="shared" si="2"/>
        <v/>
      </c>
      <c r="T35" s="14" t="str">
        <f t="shared" si="3"/>
        <v/>
      </c>
      <c r="U35" s="14">
        <v>1000</v>
      </c>
      <c r="V35" s="14">
        <v>1000</v>
      </c>
      <c r="W35" s="8">
        <f t="shared" si="4"/>
        <v>7.6999999999999999E-2</v>
      </c>
      <c r="X35" s="13" t="str">
        <f t="shared" si="5"/>
        <v/>
      </c>
      <c r="Y35" s="13" t="str">
        <f t="shared" si="6"/>
        <v/>
      </c>
      <c r="Z35" s="15" t="str">
        <f t="shared" si="7"/>
        <v/>
      </c>
      <c r="AA35" s="15">
        <f t="shared" si="8"/>
        <v>900</v>
      </c>
      <c r="AB35" s="15" t="str">
        <f t="shared" si="9"/>
        <v/>
      </c>
      <c r="AC35" s="13" t="str">
        <f t="shared" si="10"/>
        <v/>
      </c>
      <c r="AD35" s="8" t="str">
        <f t="shared" si="11"/>
        <v/>
      </c>
      <c r="AE35" s="1"/>
      <c r="AF35" s="1"/>
      <c r="AG35" s="1"/>
    </row>
    <row r="36" spans="1:33" ht="15">
      <c r="A36" s="1">
        <f t="shared" ref="A36:A67" si="12">ROW()-3</f>
        <v>33</v>
      </c>
      <c r="B36" s="1"/>
      <c r="C36" s="1"/>
      <c r="D36" s="1"/>
      <c r="E36" s="1"/>
      <c r="F36" s="6"/>
      <c r="G36" s="5"/>
      <c r="H36" s="1"/>
      <c r="I36" s="1"/>
      <c r="J36" s="1"/>
      <c r="K36" s="1"/>
      <c r="L36" s="1"/>
      <c r="M36" s="1"/>
      <c r="N36" s="1"/>
      <c r="O36" s="1"/>
      <c r="P36" s="1"/>
      <c r="Q36" s="7"/>
      <c r="R36" s="13" t="str">
        <f t="shared" ref="R36:R67" si="13">IF(OR(F36="",Q36=""),"",IF(OR(G36="USD",G36="EUR",G36="GBP"),F36*Q36,F36))</f>
        <v/>
      </c>
      <c r="S36" s="13" t="str">
        <f t="shared" ref="S36:S67" si="14">IF(Q36="","",IF(OR(J36="イギリス",J36="アメリカ",J36="イタリア",J36="フランス",J36="ドイツ",J36="スペイン",J36="オランダ",J36="ベルギー",J36="ポルトガル",J36="オーストリア",ISNUMBER(SEARCH("MyUS",K36))),ROUND(R36*0.08,0),0))</f>
        <v/>
      </c>
      <c r="T36" s="14" t="str">
        <f t="shared" ref="T36:T67" si="15">IF(Q36="","",IF(OR(ISNUMBER(SEARCH("コート",C36)),ISNUMBER(SEARCH("Coat",C36)),ISNUMBER(SEARCH("coat",C36))),15000,IF(OR(ISNUMBER(SEARCH("靴",C36)),ISNUMBER(SEARCH("スニーカー",C36)),ISNUMBER(SEARCH("Sneaker",C36)),ISNUMBER(SEARCH("sneaker",C36)),ISNUMBER(SEARCH("Shoes",C36)),ISNUMBER(SEARCH("shoes",C36)),ISNUMBER(SEARCH("Boot",C36)),ISNUMBER(SEARCH("boot",C36)),ISNUMBER(SEARCH("バッグ",C36)),ISNUMBER(SEARCH("Bag",C36)),ISNUMBER(SEARCH("bag",C36)),ISNUMBER(SEARCH("Tote",C36)),ISNUMBER(SEARCH("tote",C36)),ISNUMBER(SEARCH("Shoulder",C36)),ISNUMBER(SEARCH("shoulder",C36))),12000,7200)))</f>
        <v/>
      </c>
      <c r="U36" s="14">
        <v>1000</v>
      </c>
      <c r="V36" s="14">
        <v>1000</v>
      </c>
      <c r="W36" s="8">
        <f t="shared" ref="W36:W67" si="16">IF(A36="","",0.077)</f>
        <v>7.6999999999999999E-2</v>
      </c>
      <c r="X36" s="13" t="str">
        <f t="shared" ref="X36:X67" si="17">IF($Q36="","",ROUND(Y36*10%,0))</f>
        <v/>
      </c>
      <c r="Y36" s="13" t="str">
        <f t="shared" ref="Y36:Y67" si="18">IF(R36="","",R36+S36+T36+U36+V36)</f>
        <v/>
      </c>
      <c r="Z36" s="15" t="str">
        <f t="shared" ref="Z36:Z67" si="19">IF($Q36="","",IF(1-W36&lt;=0,"",ROUNDUP((Y36+X36)/(1-W36),0))-72)</f>
        <v/>
      </c>
      <c r="AA36" s="15">
        <f t="shared" ref="AA36:AA67" si="20">IF(A36="","",900)</f>
        <v>900</v>
      </c>
      <c r="AB36" s="15" t="str">
        <f t="shared" ref="AB36:AB67" si="21">IF(Z36="","",Z36+AA36)</f>
        <v/>
      </c>
      <c r="AC36" s="13" t="str">
        <f t="shared" ref="AC36:AC67" si="22">IF(Z36="","",Z36*(1-W36)-Y36)</f>
        <v/>
      </c>
      <c r="AD36" s="8" t="str">
        <f t="shared" ref="AD36:AD67" si="23">IF(AB36="","",AC36/AB36)</f>
        <v/>
      </c>
      <c r="AE36" s="1"/>
      <c r="AF36" s="1"/>
      <c r="AG36" s="1"/>
    </row>
    <row r="37" spans="1:33" ht="15">
      <c r="A37" s="1">
        <f t="shared" si="12"/>
        <v>34</v>
      </c>
      <c r="B37" s="1"/>
      <c r="C37" s="1"/>
      <c r="D37" s="1"/>
      <c r="E37" s="1"/>
      <c r="F37" s="6"/>
      <c r="G37" s="5"/>
      <c r="H37" s="1"/>
      <c r="I37" s="1"/>
      <c r="J37" s="1"/>
      <c r="K37" s="1"/>
      <c r="L37" s="1"/>
      <c r="M37" s="1"/>
      <c r="N37" s="1"/>
      <c r="O37" s="1"/>
      <c r="P37" s="1"/>
      <c r="Q37" s="7"/>
      <c r="R37" s="13" t="str">
        <f t="shared" si="13"/>
        <v/>
      </c>
      <c r="S37" s="13" t="str">
        <f t="shared" si="14"/>
        <v/>
      </c>
      <c r="T37" s="14" t="str">
        <f t="shared" si="15"/>
        <v/>
      </c>
      <c r="U37" s="14">
        <v>1000</v>
      </c>
      <c r="V37" s="14">
        <v>1000</v>
      </c>
      <c r="W37" s="8">
        <f t="shared" si="16"/>
        <v>7.6999999999999999E-2</v>
      </c>
      <c r="X37" s="13" t="str">
        <f t="shared" si="17"/>
        <v/>
      </c>
      <c r="Y37" s="13" t="str">
        <f t="shared" si="18"/>
        <v/>
      </c>
      <c r="Z37" s="15" t="str">
        <f t="shared" si="19"/>
        <v/>
      </c>
      <c r="AA37" s="15">
        <f t="shared" si="20"/>
        <v>900</v>
      </c>
      <c r="AB37" s="15" t="str">
        <f t="shared" si="21"/>
        <v/>
      </c>
      <c r="AC37" s="13" t="str">
        <f t="shared" si="22"/>
        <v/>
      </c>
      <c r="AD37" s="8" t="str">
        <f t="shared" si="23"/>
        <v/>
      </c>
      <c r="AE37" s="1"/>
      <c r="AF37" s="1"/>
      <c r="AG37" s="1"/>
    </row>
    <row r="38" spans="1:33" ht="15">
      <c r="A38" s="1">
        <f t="shared" si="12"/>
        <v>35</v>
      </c>
      <c r="B38" s="1"/>
      <c r="C38" s="1"/>
      <c r="D38" s="1"/>
      <c r="E38" s="1"/>
      <c r="F38" s="6"/>
      <c r="G38" s="5"/>
      <c r="H38" s="1"/>
      <c r="I38" s="1"/>
      <c r="J38" s="1"/>
      <c r="K38" s="1"/>
      <c r="L38" s="1"/>
      <c r="M38" s="1"/>
      <c r="N38" s="1"/>
      <c r="O38" s="1"/>
      <c r="P38" s="1"/>
      <c r="Q38" s="7"/>
      <c r="R38" s="13" t="str">
        <f t="shared" si="13"/>
        <v/>
      </c>
      <c r="S38" s="13" t="str">
        <f t="shared" si="14"/>
        <v/>
      </c>
      <c r="T38" s="14" t="str">
        <f t="shared" si="15"/>
        <v/>
      </c>
      <c r="U38" s="14">
        <v>1000</v>
      </c>
      <c r="V38" s="14">
        <v>1000</v>
      </c>
      <c r="W38" s="8">
        <f t="shared" si="16"/>
        <v>7.6999999999999999E-2</v>
      </c>
      <c r="X38" s="13" t="str">
        <f t="shared" si="17"/>
        <v/>
      </c>
      <c r="Y38" s="13" t="str">
        <f t="shared" si="18"/>
        <v/>
      </c>
      <c r="Z38" s="15" t="str">
        <f t="shared" si="19"/>
        <v/>
      </c>
      <c r="AA38" s="15">
        <f t="shared" si="20"/>
        <v>900</v>
      </c>
      <c r="AB38" s="15" t="str">
        <f t="shared" si="21"/>
        <v/>
      </c>
      <c r="AC38" s="13" t="str">
        <f t="shared" si="22"/>
        <v/>
      </c>
      <c r="AD38" s="8" t="str">
        <f t="shared" si="23"/>
        <v/>
      </c>
      <c r="AE38" s="1"/>
      <c r="AF38" s="1"/>
      <c r="AG38" s="1"/>
    </row>
    <row r="39" spans="1:33" ht="15">
      <c r="A39" s="1">
        <f t="shared" si="12"/>
        <v>36</v>
      </c>
      <c r="B39" s="1"/>
      <c r="C39" s="1"/>
      <c r="D39" s="1"/>
      <c r="E39" s="1"/>
      <c r="F39" s="6"/>
      <c r="G39" s="5"/>
      <c r="H39" s="1"/>
      <c r="I39" s="1"/>
      <c r="J39" s="1"/>
      <c r="K39" s="1"/>
      <c r="L39" s="1"/>
      <c r="M39" s="1"/>
      <c r="N39" s="1"/>
      <c r="O39" s="1"/>
      <c r="P39" s="1"/>
      <c r="Q39" s="7"/>
      <c r="R39" s="13" t="str">
        <f t="shared" si="13"/>
        <v/>
      </c>
      <c r="S39" s="13" t="str">
        <f t="shared" si="14"/>
        <v/>
      </c>
      <c r="T39" s="14" t="str">
        <f t="shared" si="15"/>
        <v/>
      </c>
      <c r="U39" s="14">
        <v>1000</v>
      </c>
      <c r="V39" s="14">
        <v>1000</v>
      </c>
      <c r="W39" s="8">
        <f t="shared" si="16"/>
        <v>7.6999999999999999E-2</v>
      </c>
      <c r="X39" s="13" t="str">
        <f t="shared" si="17"/>
        <v/>
      </c>
      <c r="Y39" s="13" t="str">
        <f t="shared" si="18"/>
        <v/>
      </c>
      <c r="Z39" s="15" t="str">
        <f t="shared" si="19"/>
        <v/>
      </c>
      <c r="AA39" s="15">
        <f t="shared" si="20"/>
        <v>900</v>
      </c>
      <c r="AB39" s="15" t="str">
        <f t="shared" si="21"/>
        <v/>
      </c>
      <c r="AC39" s="13" t="str">
        <f t="shared" si="22"/>
        <v/>
      </c>
      <c r="AD39" s="8" t="str">
        <f t="shared" si="23"/>
        <v/>
      </c>
      <c r="AE39" s="1"/>
      <c r="AF39" s="1"/>
      <c r="AG39" s="1"/>
    </row>
    <row r="40" spans="1:33" ht="15">
      <c r="A40" s="1">
        <f t="shared" si="12"/>
        <v>37</v>
      </c>
      <c r="B40" s="1"/>
      <c r="C40" s="1"/>
      <c r="D40" s="1"/>
      <c r="E40" s="1"/>
      <c r="F40" s="6"/>
      <c r="G40" s="5"/>
      <c r="H40" s="1"/>
      <c r="I40" s="1"/>
      <c r="J40" s="1"/>
      <c r="K40" s="1"/>
      <c r="L40" s="1"/>
      <c r="M40" s="1"/>
      <c r="N40" s="1"/>
      <c r="O40" s="1"/>
      <c r="P40" s="1"/>
      <c r="Q40" s="7"/>
      <c r="R40" s="13" t="str">
        <f t="shared" si="13"/>
        <v/>
      </c>
      <c r="S40" s="13" t="str">
        <f t="shared" si="14"/>
        <v/>
      </c>
      <c r="T40" s="14" t="str">
        <f t="shared" si="15"/>
        <v/>
      </c>
      <c r="U40" s="14">
        <v>1000</v>
      </c>
      <c r="V40" s="14">
        <v>1000</v>
      </c>
      <c r="W40" s="8">
        <f t="shared" si="16"/>
        <v>7.6999999999999999E-2</v>
      </c>
      <c r="X40" s="13" t="str">
        <f t="shared" si="17"/>
        <v/>
      </c>
      <c r="Y40" s="13" t="str">
        <f t="shared" si="18"/>
        <v/>
      </c>
      <c r="Z40" s="15" t="str">
        <f t="shared" si="19"/>
        <v/>
      </c>
      <c r="AA40" s="15">
        <f t="shared" si="20"/>
        <v>900</v>
      </c>
      <c r="AB40" s="15" t="str">
        <f t="shared" si="21"/>
        <v/>
      </c>
      <c r="AC40" s="13" t="str">
        <f t="shared" si="22"/>
        <v/>
      </c>
      <c r="AD40" s="8" t="str">
        <f t="shared" si="23"/>
        <v/>
      </c>
      <c r="AE40" s="1"/>
      <c r="AF40" s="1"/>
      <c r="AG40" s="1"/>
    </row>
    <row r="41" spans="1:33" ht="15">
      <c r="A41" s="1">
        <f t="shared" si="12"/>
        <v>38</v>
      </c>
      <c r="B41" s="1"/>
      <c r="C41" s="1"/>
      <c r="D41" s="1"/>
      <c r="E41" s="1"/>
      <c r="F41" s="6"/>
      <c r="G41" s="5"/>
      <c r="H41" s="1"/>
      <c r="I41" s="1"/>
      <c r="J41" s="1"/>
      <c r="K41" s="1"/>
      <c r="L41" s="1"/>
      <c r="M41" s="1"/>
      <c r="N41" s="1"/>
      <c r="O41" s="1"/>
      <c r="P41" s="1"/>
      <c r="Q41" s="7"/>
      <c r="R41" s="13" t="str">
        <f t="shared" si="13"/>
        <v/>
      </c>
      <c r="S41" s="13" t="str">
        <f t="shared" si="14"/>
        <v/>
      </c>
      <c r="T41" s="14" t="str">
        <f t="shared" si="15"/>
        <v/>
      </c>
      <c r="U41" s="14">
        <v>1000</v>
      </c>
      <c r="V41" s="14">
        <v>1000</v>
      </c>
      <c r="W41" s="8">
        <f t="shared" si="16"/>
        <v>7.6999999999999999E-2</v>
      </c>
      <c r="X41" s="13" t="str">
        <f t="shared" si="17"/>
        <v/>
      </c>
      <c r="Y41" s="13" t="str">
        <f t="shared" si="18"/>
        <v/>
      </c>
      <c r="Z41" s="15" t="str">
        <f t="shared" si="19"/>
        <v/>
      </c>
      <c r="AA41" s="15">
        <f t="shared" si="20"/>
        <v>900</v>
      </c>
      <c r="AB41" s="15" t="str">
        <f t="shared" si="21"/>
        <v/>
      </c>
      <c r="AC41" s="13" t="str">
        <f t="shared" si="22"/>
        <v/>
      </c>
      <c r="AD41" s="8" t="str">
        <f t="shared" si="23"/>
        <v/>
      </c>
      <c r="AE41" s="1"/>
      <c r="AF41" s="1"/>
      <c r="AG41" s="1"/>
    </row>
    <row r="42" spans="1:33" ht="15">
      <c r="A42" s="1">
        <f t="shared" si="12"/>
        <v>39</v>
      </c>
      <c r="B42" s="1"/>
      <c r="C42" s="1"/>
      <c r="D42" s="1"/>
      <c r="E42" s="1"/>
      <c r="F42" s="6"/>
      <c r="G42" s="5"/>
      <c r="H42" s="1"/>
      <c r="I42" s="1"/>
      <c r="J42" s="1"/>
      <c r="K42" s="1"/>
      <c r="L42" s="1"/>
      <c r="M42" s="1"/>
      <c r="N42" s="1"/>
      <c r="O42" s="1"/>
      <c r="P42" s="1"/>
      <c r="Q42" s="7"/>
      <c r="R42" s="13" t="str">
        <f t="shared" si="13"/>
        <v/>
      </c>
      <c r="S42" s="13" t="str">
        <f t="shared" si="14"/>
        <v/>
      </c>
      <c r="T42" s="14" t="str">
        <f t="shared" si="15"/>
        <v/>
      </c>
      <c r="U42" s="14">
        <v>1000</v>
      </c>
      <c r="V42" s="14">
        <v>1000</v>
      </c>
      <c r="W42" s="8">
        <f t="shared" si="16"/>
        <v>7.6999999999999999E-2</v>
      </c>
      <c r="X42" s="13" t="str">
        <f t="shared" si="17"/>
        <v/>
      </c>
      <c r="Y42" s="13" t="str">
        <f t="shared" si="18"/>
        <v/>
      </c>
      <c r="Z42" s="15" t="str">
        <f t="shared" si="19"/>
        <v/>
      </c>
      <c r="AA42" s="15">
        <f t="shared" si="20"/>
        <v>900</v>
      </c>
      <c r="AB42" s="15" t="str">
        <f t="shared" si="21"/>
        <v/>
      </c>
      <c r="AC42" s="13" t="str">
        <f t="shared" si="22"/>
        <v/>
      </c>
      <c r="AD42" s="8" t="str">
        <f t="shared" si="23"/>
        <v/>
      </c>
      <c r="AE42" s="1"/>
      <c r="AF42" s="1"/>
      <c r="AG42" s="1"/>
    </row>
    <row r="43" spans="1:33" ht="15">
      <c r="A43" s="1">
        <f t="shared" si="12"/>
        <v>40</v>
      </c>
      <c r="B43" s="1"/>
      <c r="C43" s="1"/>
      <c r="D43" s="1"/>
      <c r="E43" s="1"/>
      <c r="F43" s="6"/>
      <c r="G43" s="5"/>
      <c r="H43" s="1"/>
      <c r="I43" s="1"/>
      <c r="J43" s="1"/>
      <c r="K43" s="1"/>
      <c r="L43" s="1"/>
      <c r="M43" s="1"/>
      <c r="N43" s="1"/>
      <c r="O43" s="1"/>
      <c r="P43" s="1"/>
      <c r="Q43" s="7"/>
      <c r="R43" s="13" t="str">
        <f t="shared" si="13"/>
        <v/>
      </c>
      <c r="S43" s="13" t="str">
        <f t="shared" si="14"/>
        <v/>
      </c>
      <c r="T43" s="14" t="str">
        <f t="shared" si="15"/>
        <v/>
      </c>
      <c r="U43" s="14">
        <v>1000</v>
      </c>
      <c r="V43" s="14">
        <v>1000</v>
      </c>
      <c r="W43" s="8">
        <f t="shared" si="16"/>
        <v>7.6999999999999999E-2</v>
      </c>
      <c r="X43" s="13" t="str">
        <f t="shared" si="17"/>
        <v/>
      </c>
      <c r="Y43" s="13" t="str">
        <f t="shared" si="18"/>
        <v/>
      </c>
      <c r="Z43" s="15" t="str">
        <f t="shared" si="19"/>
        <v/>
      </c>
      <c r="AA43" s="15">
        <f t="shared" si="20"/>
        <v>900</v>
      </c>
      <c r="AB43" s="15" t="str">
        <f t="shared" si="21"/>
        <v/>
      </c>
      <c r="AC43" s="13" t="str">
        <f t="shared" si="22"/>
        <v/>
      </c>
      <c r="AD43" s="8" t="str">
        <f t="shared" si="23"/>
        <v/>
      </c>
      <c r="AE43" s="1"/>
      <c r="AF43" s="1"/>
      <c r="AG43" s="1"/>
    </row>
    <row r="44" spans="1:33" ht="15">
      <c r="A44" s="1">
        <f t="shared" si="12"/>
        <v>41</v>
      </c>
      <c r="B44" s="1"/>
      <c r="C44" s="1"/>
      <c r="D44" s="1"/>
      <c r="E44" s="1"/>
      <c r="F44" s="6"/>
      <c r="G44" s="5"/>
      <c r="H44" s="1"/>
      <c r="I44" s="1"/>
      <c r="J44" s="1"/>
      <c r="K44" s="1"/>
      <c r="L44" s="1"/>
      <c r="M44" s="1"/>
      <c r="N44" s="1"/>
      <c r="O44" s="1"/>
      <c r="P44" s="1"/>
      <c r="Q44" s="7"/>
      <c r="R44" s="13" t="str">
        <f t="shared" si="13"/>
        <v/>
      </c>
      <c r="S44" s="13" t="str">
        <f t="shared" si="14"/>
        <v/>
      </c>
      <c r="T44" s="14" t="str">
        <f t="shared" si="15"/>
        <v/>
      </c>
      <c r="U44" s="14">
        <v>1000</v>
      </c>
      <c r="V44" s="14">
        <v>1000</v>
      </c>
      <c r="W44" s="8">
        <f t="shared" si="16"/>
        <v>7.6999999999999999E-2</v>
      </c>
      <c r="X44" s="13" t="str">
        <f t="shared" si="17"/>
        <v/>
      </c>
      <c r="Y44" s="13" t="str">
        <f t="shared" si="18"/>
        <v/>
      </c>
      <c r="Z44" s="15" t="str">
        <f t="shared" si="19"/>
        <v/>
      </c>
      <c r="AA44" s="15">
        <f t="shared" si="20"/>
        <v>900</v>
      </c>
      <c r="AB44" s="15" t="str">
        <f t="shared" si="21"/>
        <v/>
      </c>
      <c r="AC44" s="13" t="str">
        <f t="shared" si="22"/>
        <v/>
      </c>
      <c r="AD44" s="8" t="str">
        <f t="shared" si="23"/>
        <v/>
      </c>
      <c r="AE44" s="1"/>
      <c r="AF44" s="1"/>
      <c r="AG44" s="1"/>
    </row>
    <row r="45" spans="1:33" ht="15">
      <c r="A45" s="1">
        <f t="shared" si="12"/>
        <v>42</v>
      </c>
      <c r="B45" s="1"/>
      <c r="C45" s="1"/>
      <c r="D45" s="1"/>
      <c r="E45" s="1"/>
      <c r="F45" s="6"/>
      <c r="G45" s="5"/>
      <c r="H45" s="1"/>
      <c r="I45" s="1"/>
      <c r="J45" s="1"/>
      <c r="K45" s="1"/>
      <c r="L45" s="1"/>
      <c r="M45" s="1"/>
      <c r="N45" s="1"/>
      <c r="O45" s="1"/>
      <c r="P45" s="1"/>
      <c r="Q45" s="7"/>
      <c r="R45" s="13" t="str">
        <f t="shared" si="13"/>
        <v/>
      </c>
      <c r="S45" s="13" t="str">
        <f t="shared" si="14"/>
        <v/>
      </c>
      <c r="T45" s="14" t="str">
        <f t="shared" si="15"/>
        <v/>
      </c>
      <c r="U45" s="14">
        <v>1000</v>
      </c>
      <c r="V45" s="14">
        <v>1000</v>
      </c>
      <c r="W45" s="8">
        <f t="shared" si="16"/>
        <v>7.6999999999999999E-2</v>
      </c>
      <c r="X45" s="13" t="str">
        <f t="shared" si="17"/>
        <v/>
      </c>
      <c r="Y45" s="13" t="str">
        <f t="shared" si="18"/>
        <v/>
      </c>
      <c r="Z45" s="15" t="str">
        <f t="shared" si="19"/>
        <v/>
      </c>
      <c r="AA45" s="15">
        <f t="shared" si="20"/>
        <v>900</v>
      </c>
      <c r="AB45" s="15" t="str">
        <f t="shared" si="21"/>
        <v/>
      </c>
      <c r="AC45" s="13" t="str">
        <f t="shared" si="22"/>
        <v/>
      </c>
      <c r="AD45" s="8" t="str">
        <f t="shared" si="23"/>
        <v/>
      </c>
      <c r="AE45" s="1"/>
      <c r="AF45" s="1"/>
      <c r="AG45" s="1"/>
    </row>
    <row r="46" spans="1:33" ht="15">
      <c r="A46" s="1">
        <f t="shared" si="12"/>
        <v>43</v>
      </c>
      <c r="B46" s="1"/>
      <c r="C46" s="1"/>
      <c r="D46" s="1"/>
      <c r="E46" s="1"/>
      <c r="F46" s="6"/>
      <c r="G46" s="5"/>
      <c r="H46" s="1"/>
      <c r="I46" s="1"/>
      <c r="J46" s="1"/>
      <c r="K46" s="1"/>
      <c r="L46" s="1"/>
      <c r="M46" s="1"/>
      <c r="N46" s="1"/>
      <c r="O46" s="1"/>
      <c r="P46" s="1"/>
      <c r="Q46" s="7"/>
      <c r="R46" s="13" t="str">
        <f t="shared" si="13"/>
        <v/>
      </c>
      <c r="S46" s="13" t="str">
        <f t="shared" si="14"/>
        <v/>
      </c>
      <c r="T46" s="14" t="str">
        <f t="shared" si="15"/>
        <v/>
      </c>
      <c r="U46" s="14">
        <v>1000</v>
      </c>
      <c r="V46" s="14">
        <v>1000</v>
      </c>
      <c r="W46" s="8">
        <f t="shared" si="16"/>
        <v>7.6999999999999999E-2</v>
      </c>
      <c r="X46" s="13" t="str">
        <f t="shared" si="17"/>
        <v/>
      </c>
      <c r="Y46" s="13" t="str">
        <f t="shared" si="18"/>
        <v/>
      </c>
      <c r="Z46" s="15" t="str">
        <f t="shared" si="19"/>
        <v/>
      </c>
      <c r="AA46" s="15">
        <f t="shared" si="20"/>
        <v>900</v>
      </c>
      <c r="AB46" s="15" t="str">
        <f t="shared" si="21"/>
        <v/>
      </c>
      <c r="AC46" s="13" t="str">
        <f t="shared" si="22"/>
        <v/>
      </c>
      <c r="AD46" s="8" t="str">
        <f t="shared" si="23"/>
        <v/>
      </c>
      <c r="AE46" s="1"/>
      <c r="AF46" s="1"/>
      <c r="AG46" s="1"/>
    </row>
    <row r="47" spans="1:33" ht="15">
      <c r="A47" s="1">
        <f t="shared" si="12"/>
        <v>44</v>
      </c>
      <c r="B47" s="1"/>
      <c r="C47" s="1"/>
      <c r="D47" s="1"/>
      <c r="E47" s="1"/>
      <c r="F47" s="6"/>
      <c r="G47" s="5"/>
      <c r="H47" s="1"/>
      <c r="I47" s="1"/>
      <c r="J47" s="1"/>
      <c r="K47" s="1"/>
      <c r="L47" s="1"/>
      <c r="M47" s="1"/>
      <c r="N47" s="1"/>
      <c r="O47" s="1"/>
      <c r="P47" s="1"/>
      <c r="Q47" s="7"/>
      <c r="R47" s="13" t="str">
        <f t="shared" si="13"/>
        <v/>
      </c>
      <c r="S47" s="13" t="str">
        <f t="shared" si="14"/>
        <v/>
      </c>
      <c r="T47" s="14" t="str">
        <f t="shared" si="15"/>
        <v/>
      </c>
      <c r="U47" s="14">
        <v>1000</v>
      </c>
      <c r="V47" s="14">
        <v>1000</v>
      </c>
      <c r="W47" s="8">
        <f t="shared" si="16"/>
        <v>7.6999999999999999E-2</v>
      </c>
      <c r="X47" s="13" t="str">
        <f t="shared" si="17"/>
        <v/>
      </c>
      <c r="Y47" s="13" t="str">
        <f t="shared" si="18"/>
        <v/>
      </c>
      <c r="Z47" s="15" t="str">
        <f t="shared" si="19"/>
        <v/>
      </c>
      <c r="AA47" s="15">
        <f t="shared" si="20"/>
        <v>900</v>
      </c>
      <c r="AB47" s="15" t="str">
        <f t="shared" si="21"/>
        <v/>
      </c>
      <c r="AC47" s="13" t="str">
        <f t="shared" si="22"/>
        <v/>
      </c>
      <c r="AD47" s="8" t="str">
        <f t="shared" si="23"/>
        <v/>
      </c>
      <c r="AE47" s="1"/>
      <c r="AF47" s="1"/>
      <c r="AG47" s="1"/>
    </row>
    <row r="48" spans="1:33" ht="15">
      <c r="A48" s="1">
        <f t="shared" si="12"/>
        <v>45</v>
      </c>
      <c r="B48" s="1"/>
      <c r="C48" s="1"/>
      <c r="D48" s="1"/>
      <c r="E48" s="1"/>
      <c r="F48" s="6"/>
      <c r="G48" s="5"/>
      <c r="H48" s="1"/>
      <c r="I48" s="1"/>
      <c r="J48" s="1"/>
      <c r="K48" s="1"/>
      <c r="L48" s="1"/>
      <c r="M48" s="1"/>
      <c r="N48" s="1"/>
      <c r="O48" s="1"/>
      <c r="P48" s="1"/>
      <c r="Q48" s="7"/>
      <c r="R48" s="13" t="str">
        <f t="shared" si="13"/>
        <v/>
      </c>
      <c r="S48" s="13" t="str">
        <f t="shared" si="14"/>
        <v/>
      </c>
      <c r="T48" s="14" t="str">
        <f t="shared" si="15"/>
        <v/>
      </c>
      <c r="U48" s="14">
        <v>1000</v>
      </c>
      <c r="V48" s="14">
        <v>1000</v>
      </c>
      <c r="W48" s="8">
        <f t="shared" si="16"/>
        <v>7.6999999999999999E-2</v>
      </c>
      <c r="X48" s="13" t="str">
        <f t="shared" si="17"/>
        <v/>
      </c>
      <c r="Y48" s="13" t="str">
        <f t="shared" si="18"/>
        <v/>
      </c>
      <c r="Z48" s="15" t="str">
        <f t="shared" si="19"/>
        <v/>
      </c>
      <c r="AA48" s="15">
        <f t="shared" si="20"/>
        <v>900</v>
      </c>
      <c r="AB48" s="15" t="str">
        <f t="shared" si="21"/>
        <v/>
      </c>
      <c r="AC48" s="13" t="str">
        <f t="shared" si="22"/>
        <v/>
      </c>
      <c r="AD48" s="8" t="str">
        <f t="shared" si="23"/>
        <v/>
      </c>
      <c r="AE48" s="1"/>
      <c r="AF48" s="1"/>
      <c r="AG48" s="1"/>
    </row>
    <row r="49" spans="1:33" ht="15">
      <c r="A49" s="1">
        <f t="shared" si="12"/>
        <v>46</v>
      </c>
      <c r="B49" s="1"/>
      <c r="C49" s="1"/>
      <c r="D49" s="1"/>
      <c r="E49" s="1"/>
      <c r="F49" s="6"/>
      <c r="G49" s="5"/>
      <c r="H49" s="1"/>
      <c r="I49" s="1"/>
      <c r="J49" s="1"/>
      <c r="K49" s="1"/>
      <c r="L49" s="1"/>
      <c r="M49" s="1"/>
      <c r="N49" s="1"/>
      <c r="O49" s="1"/>
      <c r="P49" s="1"/>
      <c r="Q49" s="7"/>
      <c r="R49" s="13" t="str">
        <f t="shared" si="13"/>
        <v/>
      </c>
      <c r="S49" s="13" t="str">
        <f t="shared" si="14"/>
        <v/>
      </c>
      <c r="T49" s="14" t="str">
        <f t="shared" si="15"/>
        <v/>
      </c>
      <c r="U49" s="14">
        <v>1000</v>
      </c>
      <c r="V49" s="14">
        <v>1000</v>
      </c>
      <c r="W49" s="8">
        <f t="shared" si="16"/>
        <v>7.6999999999999999E-2</v>
      </c>
      <c r="X49" s="13" t="str">
        <f t="shared" si="17"/>
        <v/>
      </c>
      <c r="Y49" s="13" t="str">
        <f t="shared" si="18"/>
        <v/>
      </c>
      <c r="Z49" s="15" t="str">
        <f t="shared" si="19"/>
        <v/>
      </c>
      <c r="AA49" s="15">
        <f t="shared" si="20"/>
        <v>900</v>
      </c>
      <c r="AB49" s="15" t="str">
        <f t="shared" si="21"/>
        <v/>
      </c>
      <c r="AC49" s="13" t="str">
        <f t="shared" si="22"/>
        <v/>
      </c>
      <c r="AD49" s="8" t="str">
        <f t="shared" si="23"/>
        <v/>
      </c>
      <c r="AE49" s="1"/>
      <c r="AF49" s="1"/>
      <c r="AG49" s="1"/>
    </row>
    <row r="50" spans="1:33" ht="15">
      <c r="A50" s="1">
        <f t="shared" si="12"/>
        <v>47</v>
      </c>
      <c r="B50" s="1"/>
      <c r="C50" s="1"/>
      <c r="D50" s="1"/>
      <c r="E50" s="1"/>
      <c r="F50" s="6"/>
      <c r="G50" s="5"/>
      <c r="H50" s="1"/>
      <c r="I50" s="1"/>
      <c r="J50" s="1"/>
      <c r="K50" s="1"/>
      <c r="L50" s="1"/>
      <c r="M50" s="1"/>
      <c r="N50" s="1"/>
      <c r="O50" s="1"/>
      <c r="P50" s="1"/>
      <c r="Q50" s="7"/>
      <c r="R50" s="13" t="str">
        <f t="shared" si="13"/>
        <v/>
      </c>
      <c r="S50" s="13" t="str">
        <f t="shared" si="14"/>
        <v/>
      </c>
      <c r="T50" s="14" t="str">
        <f t="shared" si="15"/>
        <v/>
      </c>
      <c r="U50" s="14">
        <v>1000</v>
      </c>
      <c r="V50" s="14">
        <v>1000</v>
      </c>
      <c r="W50" s="8">
        <f t="shared" si="16"/>
        <v>7.6999999999999999E-2</v>
      </c>
      <c r="X50" s="13" t="str">
        <f t="shared" si="17"/>
        <v/>
      </c>
      <c r="Y50" s="13" t="str">
        <f t="shared" si="18"/>
        <v/>
      </c>
      <c r="Z50" s="15" t="str">
        <f t="shared" si="19"/>
        <v/>
      </c>
      <c r="AA50" s="15">
        <f t="shared" si="20"/>
        <v>900</v>
      </c>
      <c r="AB50" s="15" t="str">
        <f t="shared" si="21"/>
        <v/>
      </c>
      <c r="AC50" s="13" t="str">
        <f t="shared" si="22"/>
        <v/>
      </c>
      <c r="AD50" s="8" t="str">
        <f t="shared" si="23"/>
        <v/>
      </c>
      <c r="AE50" s="1"/>
      <c r="AF50" s="1"/>
      <c r="AG50" s="1"/>
    </row>
    <row r="51" spans="1:33" ht="15">
      <c r="A51" s="1">
        <f t="shared" si="12"/>
        <v>48</v>
      </c>
      <c r="B51" s="1"/>
      <c r="C51" s="1"/>
      <c r="D51" s="1"/>
      <c r="E51" s="1"/>
      <c r="F51" s="6"/>
      <c r="G51" s="5"/>
      <c r="H51" s="1"/>
      <c r="I51" s="1"/>
      <c r="J51" s="1"/>
      <c r="K51" s="1"/>
      <c r="L51" s="1"/>
      <c r="M51" s="1"/>
      <c r="N51" s="1"/>
      <c r="O51" s="1"/>
      <c r="P51" s="1"/>
      <c r="Q51" s="7"/>
      <c r="R51" s="13" t="str">
        <f t="shared" si="13"/>
        <v/>
      </c>
      <c r="S51" s="13" t="str">
        <f t="shared" si="14"/>
        <v/>
      </c>
      <c r="T51" s="14" t="str">
        <f t="shared" si="15"/>
        <v/>
      </c>
      <c r="U51" s="14">
        <v>1000</v>
      </c>
      <c r="V51" s="14">
        <v>1000</v>
      </c>
      <c r="W51" s="8">
        <f t="shared" si="16"/>
        <v>7.6999999999999999E-2</v>
      </c>
      <c r="X51" s="13" t="str">
        <f t="shared" si="17"/>
        <v/>
      </c>
      <c r="Y51" s="13" t="str">
        <f t="shared" si="18"/>
        <v/>
      </c>
      <c r="Z51" s="15" t="str">
        <f t="shared" si="19"/>
        <v/>
      </c>
      <c r="AA51" s="15">
        <f t="shared" si="20"/>
        <v>900</v>
      </c>
      <c r="AB51" s="15" t="str">
        <f t="shared" si="21"/>
        <v/>
      </c>
      <c r="AC51" s="13" t="str">
        <f t="shared" si="22"/>
        <v/>
      </c>
      <c r="AD51" s="8" t="str">
        <f t="shared" si="23"/>
        <v/>
      </c>
      <c r="AE51" s="1"/>
      <c r="AF51" s="1"/>
      <c r="AG51" s="1"/>
    </row>
    <row r="52" spans="1:33" ht="15">
      <c r="A52" s="1">
        <f t="shared" si="12"/>
        <v>49</v>
      </c>
      <c r="B52" s="1"/>
      <c r="C52" s="1"/>
      <c r="D52" s="1"/>
      <c r="E52" s="1"/>
      <c r="F52" s="6"/>
      <c r="G52" s="5"/>
      <c r="H52" s="1"/>
      <c r="I52" s="1"/>
      <c r="J52" s="1"/>
      <c r="K52" s="1"/>
      <c r="L52" s="1"/>
      <c r="M52" s="1"/>
      <c r="N52" s="1"/>
      <c r="O52" s="1"/>
      <c r="P52" s="1"/>
      <c r="Q52" s="7"/>
      <c r="R52" s="13" t="str">
        <f t="shared" si="13"/>
        <v/>
      </c>
      <c r="S52" s="13" t="str">
        <f t="shared" si="14"/>
        <v/>
      </c>
      <c r="T52" s="14" t="str">
        <f t="shared" si="15"/>
        <v/>
      </c>
      <c r="U52" s="14">
        <v>1000</v>
      </c>
      <c r="V52" s="14">
        <v>1000</v>
      </c>
      <c r="W52" s="8">
        <f t="shared" si="16"/>
        <v>7.6999999999999999E-2</v>
      </c>
      <c r="X52" s="13" t="str">
        <f t="shared" si="17"/>
        <v/>
      </c>
      <c r="Y52" s="13" t="str">
        <f t="shared" si="18"/>
        <v/>
      </c>
      <c r="Z52" s="15" t="str">
        <f t="shared" si="19"/>
        <v/>
      </c>
      <c r="AA52" s="15">
        <f t="shared" si="20"/>
        <v>900</v>
      </c>
      <c r="AB52" s="15" t="str">
        <f t="shared" si="21"/>
        <v/>
      </c>
      <c r="AC52" s="13" t="str">
        <f t="shared" si="22"/>
        <v/>
      </c>
      <c r="AD52" s="8" t="str">
        <f t="shared" si="23"/>
        <v/>
      </c>
      <c r="AE52" s="1"/>
      <c r="AF52" s="1"/>
      <c r="AG52" s="1"/>
    </row>
    <row r="53" spans="1:33" ht="15">
      <c r="A53" s="1">
        <f t="shared" si="12"/>
        <v>50</v>
      </c>
      <c r="B53" s="1"/>
      <c r="C53" s="1"/>
      <c r="D53" s="1"/>
      <c r="E53" s="1"/>
      <c r="F53" s="6"/>
      <c r="G53" s="5"/>
      <c r="H53" s="1"/>
      <c r="I53" s="1"/>
      <c r="J53" s="1"/>
      <c r="K53" s="1"/>
      <c r="L53" s="1"/>
      <c r="M53" s="1"/>
      <c r="N53" s="1"/>
      <c r="O53" s="1"/>
      <c r="P53" s="1"/>
      <c r="Q53" s="7"/>
      <c r="R53" s="13" t="str">
        <f t="shared" si="13"/>
        <v/>
      </c>
      <c r="S53" s="13" t="str">
        <f t="shared" si="14"/>
        <v/>
      </c>
      <c r="T53" s="14" t="str">
        <f t="shared" si="15"/>
        <v/>
      </c>
      <c r="U53" s="14">
        <v>1000</v>
      </c>
      <c r="V53" s="14">
        <v>1000</v>
      </c>
      <c r="W53" s="8">
        <f t="shared" si="16"/>
        <v>7.6999999999999999E-2</v>
      </c>
      <c r="X53" s="13" t="str">
        <f t="shared" si="17"/>
        <v/>
      </c>
      <c r="Y53" s="13" t="str">
        <f t="shared" si="18"/>
        <v/>
      </c>
      <c r="Z53" s="15" t="str">
        <f t="shared" si="19"/>
        <v/>
      </c>
      <c r="AA53" s="15">
        <f t="shared" si="20"/>
        <v>900</v>
      </c>
      <c r="AB53" s="15" t="str">
        <f t="shared" si="21"/>
        <v/>
      </c>
      <c r="AC53" s="13" t="str">
        <f t="shared" si="22"/>
        <v/>
      </c>
      <c r="AD53" s="8" t="str">
        <f t="shared" si="23"/>
        <v/>
      </c>
      <c r="AE53" s="1"/>
      <c r="AF53" s="1"/>
      <c r="AG53" s="1"/>
    </row>
    <row r="54" spans="1:33" ht="15">
      <c r="A54" s="1">
        <f t="shared" si="12"/>
        <v>51</v>
      </c>
      <c r="B54" s="1"/>
      <c r="C54" s="1"/>
      <c r="D54" s="1"/>
      <c r="E54" s="1"/>
      <c r="F54" s="6"/>
      <c r="G54" s="5"/>
      <c r="H54" s="1"/>
      <c r="I54" s="1"/>
      <c r="J54" s="1"/>
      <c r="K54" s="1"/>
      <c r="L54" s="1"/>
      <c r="M54" s="1"/>
      <c r="N54" s="1"/>
      <c r="O54" s="1"/>
      <c r="P54" s="1"/>
      <c r="Q54" s="7"/>
      <c r="R54" s="13" t="str">
        <f t="shared" si="13"/>
        <v/>
      </c>
      <c r="S54" s="13" t="str">
        <f t="shared" si="14"/>
        <v/>
      </c>
      <c r="T54" s="14" t="str">
        <f t="shared" si="15"/>
        <v/>
      </c>
      <c r="U54" s="14">
        <v>1000</v>
      </c>
      <c r="V54" s="14">
        <v>1000</v>
      </c>
      <c r="W54" s="8">
        <f t="shared" si="16"/>
        <v>7.6999999999999999E-2</v>
      </c>
      <c r="X54" s="13" t="str">
        <f t="shared" si="17"/>
        <v/>
      </c>
      <c r="Y54" s="13" t="str">
        <f t="shared" si="18"/>
        <v/>
      </c>
      <c r="Z54" s="15" t="str">
        <f t="shared" si="19"/>
        <v/>
      </c>
      <c r="AA54" s="15">
        <f t="shared" si="20"/>
        <v>900</v>
      </c>
      <c r="AB54" s="15" t="str">
        <f t="shared" si="21"/>
        <v/>
      </c>
      <c r="AC54" s="13" t="str">
        <f t="shared" si="22"/>
        <v/>
      </c>
      <c r="AD54" s="8" t="str">
        <f t="shared" si="23"/>
        <v/>
      </c>
      <c r="AE54" s="1"/>
      <c r="AF54" s="1"/>
      <c r="AG54" s="1"/>
    </row>
    <row r="55" spans="1:33" ht="15">
      <c r="A55" s="1">
        <f t="shared" si="12"/>
        <v>52</v>
      </c>
      <c r="B55" s="1"/>
      <c r="C55" s="1"/>
      <c r="D55" s="1"/>
      <c r="E55" s="1"/>
      <c r="F55" s="6"/>
      <c r="G55" s="5"/>
      <c r="H55" s="1"/>
      <c r="I55" s="1"/>
      <c r="J55" s="1"/>
      <c r="K55" s="1"/>
      <c r="L55" s="1"/>
      <c r="M55" s="1"/>
      <c r="N55" s="1"/>
      <c r="O55" s="1"/>
      <c r="P55" s="1"/>
      <c r="Q55" s="7"/>
      <c r="R55" s="13" t="str">
        <f t="shared" si="13"/>
        <v/>
      </c>
      <c r="S55" s="13" t="str">
        <f t="shared" si="14"/>
        <v/>
      </c>
      <c r="T55" s="14" t="str">
        <f t="shared" si="15"/>
        <v/>
      </c>
      <c r="U55" s="14">
        <v>1000</v>
      </c>
      <c r="V55" s="14">
        <v>1000</v>
      </c>
      <c r="W55" s="8">
        <f t="shared" si="16"/>
        <v>7.6999999999999999E-2</v>
      </c>
      <c r="X55" s="13" t="str">
        <f t="shared" si="17"/>
        <v/>
      </c>
      <c r="Y55" s="13" t="str">
        <f t="shared" si="18"/>
        <v/>
      </c>
      <c r="Z55" s="15" t="str">
        <f t="shared" si="19"/>
        <v/>
      </c>
      <c r="AA55" s="15">
        <f t="shared" si="20"/>
        <v>900</v>
      </c>
      <c r="AB55" s="15" t="str">
        <f t="shared" si="21"/>
        <v/>
      </c>
      <c r="AC55" s="13" t="str">
        <f t="shared" si="22"/>
        <v/>
      </c>
      <c r="AD55" s="8" t="str">
        <f t="shared" si="23"/>
        <v/>
      </c>
      <c r="AE55" s="1"/>
      <c r="AF55" s="1"/>
      <c r="AG55" s="1"/>
    </row>
    <row r="56" spans="1:33" ht="15">
      <c r="A56" s="1">
        <f t="shared" si="12"/>
        <v>53</v>
      </c>
      <c r="B56" s="1"/>
      <c r="C56" s="1"/>
      <c r="D56" s="1"/>
      <c r="E56" s="1"/>
      <c r="F56" s="6"/>
      <c r="G56" s="5"/>
      <c r="H56" s="1"/>
      <c r="I56" s="1"/>
      <c r="J56" s="1"/>
      <c r="K56" s="1"/>
      <c r="L56" s="1"/>
      <c r="M56" s="1"/>
      <c r="N56" s="1"/>
      <c r="O56" s="1"/>
      <c r="P56" s="1"/>
      <c r="Q56" s="7"/>
      <c r="R56" s="13" t="str">
        <f t="shared" si="13"/>
        <v/>
      </c>
      <c r="S56" s="13" t="str">
        <f t="shared" si="14"/>
        <v/>
      </c>
      <c r="T56" s="14" t="str">
        <f t="shared" si="15"/>
        <v/>
      </c>
      <c r="U56" s="14">
        <v>1000</v>
      </c>
      <c r="V56" s="14">
        <v>1000</v>
      </c>
      <c r="W56" s="8">
        <f t="shared" si="16"/>
        <v>7.6999999999999999E-2</v>
      </c>
      <c r="X56" s="13" t="str">
        <f t="shared" si="17"/>
        <v/>
      </c>
      <c r="Y56" s="13" t="str">
        <f t="shared" si="18"/>
        <v/>
      </c>
      <c r="Z56" s="15" t="str">
        <f t="shared" si="19"/>
        <v/>
      </c>
      <c r="AA56" s="15">
        <f t="shared" si="20"/>
        <v>900</v>
      </c>
      <c r="AB56" s="15" t="str">
        <f t="shared" si="21"/>
        <v/>
      </c>
      <c r="AC56" s="13" t="str">
        <f t="shared" si="22"/>
        <v/>
      </c>
      <c r="AD56" s="8" t="str">
        <f t="shared" si="23"/>
        <v/>
      </c>
      <c r="AE56" s="1"/>
      <c r="AF56" s="1"/>
      <c r="AG56" s="1"/>
    </row>
    <row r="57" spans="1:33" ht="15">
      <c r="A57" s="1">
        <f t="shared" si="12"/>
        <v>54</v>
      </c>
      <c r="B57" s="1"/>
      <c r="C57" s="1"/>
      <c r="D57" s="1"/>
      <c r="E57" s="1"/>
      <c r="F57" s="6"/>
      <c r="G57" s="5"/>
      <c r="H57" s="1"/>
      <c r="I57" s="1"/>
      <c r="J57" s="1"/>
      <c r="K57" s="1"/>
      <c r="L57" s="1"/>
      <c r="M57" s="1"/>
      <c r="N57" s="1"/>
      <c r="O57" s="1"/>
      <c r="P57" s="1"/>
      <c r="Q57" s="7"/>
      <c r="R57" s="13" t="str">
        <f t="shared" si="13"/>
        <v/>
      </c>
      <c r="S57" s="13" t="str">
        <f t="shared" si="14"/>
        <v/>
      </c>
      <c r="T57" s="14" t="str">
        <f t="shared" si="15"/>
        <v/>
      </c>
      <c r="U57" s="14">
        <v>1000</v>
      </c>
      <c r="V57" s="14">
        <v>1000</v>
      </c>
      <c r="W57" s="8">
        <f t="shared" si="16"/>
        <v>7.6999999999999999E-2</v>
      </c>
      <c r="X57" s="13" t="str">
        <f t="shared" si="17"/>
        <v/>
      </c>
      <c r="Y57" s="13" t="str">
        <f t="shared" si="18"/>
        <v/>
      </c>
      <c r="Z57" s="15" t="str">
        <f t="shared" si="19"/>
        <v/>
      </c>
      <c r="AA57" s="15">
        <f t="shared" si="20"/>
        <v>900</v>
      </c>
      <c r="AB57" s="15" t="str">
        <f t="shared" si="21"/>
        <v/>
      </c>
      <c r="AC57" s="13" t="str">
        <f t="shared" si="22"/>
        <v/>
      </c>
      <c r="AD57" s="8" t="str">
        <f t="shared" si="23"/>
        <v/>
      </c>
      <c r="AE57" s="1"/>
      <c r="AF57" s="1"/>
      <c r="AG57" s="1"/>
    </row>
    <row r="58" spans="1:33" ht="15">
      <c r="A58" s="1">
        <f t="shared" si="12"/>
        <v>55</v>
      </c>
      <c r="B58" s="1"/>
      <c r="C58" s="1"/>
      <c r="D58" s="1"/>
      <c r="E58" s="1"/>
      <c r="F58" s="6"/>
      <c r="G58" s="5"/>
      <c r="H58" s="1"/>
      <c r="I58" s="1"/>
      <c r="J58" s="1"/>
      <c r="K58" s="1"/>
      <c r="L58" s="1"/>
      <c r="M58" s="1"/>
      <c r="N58" s="1"/>
      <c r="O58" s="1"/>
      <c r="P58" s="1"/>
      <c r="Q58" s="7"/>
      <c r="R58" s="13" t="str">
        <f t="shared" si="13"/>
        <v/>
      </c>
      <c r="S58" s="13" t="str">
        <f t="shared" si="14"/>
        <v/>
      </c>
      <c r="T58" s="14" t="str">
        <f t="shared" si="15"/>
        <v/>
      </c>
      <c r="U58" s="14">
        <v>1000</v>
      </c>
      <c r="V58" s="14">
        <v>1000</v>
      </c>
      <c r="W58" s="8">
        <f t="shared" si="16"/>
        <v>7.6999999999999999E-2</v>
      </c>
      <c r="X58" s="13" t="str">
        <f t="shared" si="17"/>
        <v/>
      </c>
      <c r="Y58" s="13" t="str">
        <f t="shared" si="18"/>
        <v/>
      </c>
      <c r="Z58" s="15" t="str">
        <f t="shared" si="19"/>
        <v/>
      </c>
      <c r="AA58" s="15">
        <f t="shared" si="20"/>
        <v>900</v>
      </c>
      <c r="AB58" s="15" t="str">
        <f t="shared" si="21"/>
        <v/>
      </c>
      <c r="AC58" s="13" t="str">
        <f t="shared" si="22"/>
        <v/>
      </c>
      <c r="AD58" s="8" t="str">
        <f t="shared" si="23"/>
        <v/>
      </c>
      <c r="AE58" s="1"/>
      <c r="AF58" s="1"/>
      <c r="AG58" s="1"/>
    </row>
    <row r="59" spans="1:33" ht="15">
      <c r="A59" s="1">
        <f t="shared" si="12"/>
        <v>56</v>
      </c>
      <c r="B59" s="1"/>
      <c r="C59" s="1"/>
      <c r="D59" s="1"/>
      <c r="E59" s="1"/>
      <c r="F59" s="6"/>
      <c r="G59" s="5"/>
      <c r="H59" s="1"/>
      <c r="I59" s="1"/>
      <c r="J59" s="1"/>
      <c r="K59" s="1"/>
      <c r="L59" s="1"/>
      <c r="M59" s="1"/>
      <c r="N59" s="1"/>
      <c r="O59" s="1"/>
      <c r="P59" s="1"/>
      <c r="Q59" s="7"/>
      <c r="R59" s="13" t="str">
        <f t="shared" si="13"/>
        <v/>
      </c>
      <c r="S59" s="13" t="str">
        <f t="shared" si="14"/>
        <v/>
      </c>
      <c r="T59" s="14" t="str">
        <f t="shared" si="15"/>
        <v/>
      </c>
      <c r="U59" s="14">
        <v>1000</v>
      </c>
      <c r="V59" s="14">
        <v>1000</v>
      </c>
      <c r="W59" s="8">
        <f t="shared" si="16"/>
        <v>7.6999999999999999E-2</v>
      </c>
      <c r="X59" s="13" t="str">
        <f t="shared" si="17"/>
        <v/>
      </c>
      <c r="Y59" s="13" t="str">
        <f t="shared" si="18"/>
        <v/>
      </c>
      <c r="Z59" s="15" t="str">
        <f t="shared" si="19"/>
        <v/>
      </c>
      <c r="AA59" s="15">
        <f t="shared" si="20"/>
        <v>900</v>
      </c>
      <c r="AB59" s="15" t="str">
        <f t="shared" si="21"/>
        <v/>
      </c>
      <c r="AC59" s="13" t="str">
        <f t="shared" si="22"/>
        <v/>
      </c>
      <c r="AD59" s="8" t="str">
        <f t="shared" si="23"/>
        <v/>
      </c>
      <c r="AE59" s="1"/>
      <c r="AF59" s="1"/>
      <c r="AG59" s="1"/>
    </row>
    <row r="60" spans="1:33" ht="15">
      <c r="A60" s="1">
        <f t="shared" si="12"/>
        <v>57</v>
      </c>
      <c r="B60" s="1"/>
      <c r="C60" s="1"/>
      <c r="D60" s="1"/>
      <c r="E60" s="1"/>
      <c r="F60" s="6"/>
      <c r="G60" s="5"/>
      <c r="H60" s="1"/>
      <c r="I60" s="1"/>
      <c r="J60" s="1"/>
      <c r="K60" s="1"/>
      <c r="L60" s="1"/>
      <c r="M60" s="1"/>
      <c r="N60" s="1"/>
      <c r="O60" s="1"/>
      <c r="P60" s="1"/>
      <c r="Q60" s="7"/>
      <c r="R60" s="13" t="str">
        <f t="shared" si="13"/>
        <v/>
      </c>
      <c r="S60" s="13" t="str">
        <f t="shared" si="14"/>
        <v/>
      </c>
      <c r="T60" s="14" t="str">
        <f t="shared" si="15"/>
        <v/>
      </c>
      <c r="U60" s="14">
        <v>1000</v>
      </c>
      <c r="V60" s="14">
        <v>1000</v>
      </c>
      <c r="W60" s="8">
        <f t="shared" si="16"/>
        <v>7.6999999999999999E-2</v>
      </c>
      <c r="X60" s="13" t="str">
        <f t="shared" si="17"/>
        <v/>
      </c>
      <c r="Y60" s="13" t="str">
        <f t="shared" si="18"/>
        <v/>
      </c>
      <c r="Z60" s="15" t="str">
        <f t="shared" si="19"/>
        <v/>
      </c>
      <c r="AA60" s="15">
        <f t="shared" si="20"/>
        <v>900</v>
      </c>
      <c r="AB60" s="15" t="str">
        <f t="shared" si="21"/>
        <v/>
      </c>
      <c r="AC60" s="13" t="str">
        <f t="shared" si="22"/>
        <v/>
      </c>
      <c r="AD60" s="8" t="str">
        <f t="shared" si="23"/>
        <v/>
      </c>
      <c r="AE60" s="1"/>
      <c r="AF60" s="1"/>
      <c r="AG60" s="1"/>
    </row>
    <row r="61" spans="1:33" ht="15">
      <c r="A61" s="1">
        <f t="shared" si="12"/>
        <v>58</v>
      </c>
      <c r="B61" s="1"/>
      <c r="C61" s="1"/>
      <c r="D61" s="1"/>
      <c r="E61" s="1"/>
      <c r="F61" s="6"/>
      <c r="G61" s="5"/>
      <c r="H61" s="1"/>
      <c r="I61" s="1"/>
      <c r="J61" s="1"/>
      <c r="K61" s="1"/>
      <c r="L61" s="1"/>
      <c r="M61" s="1"/>
      <c r="N61" s="1"/>
      <c r="O61" s="1"/>
      <c r="P61" s="1"/>
      <c r="Q61" s="7"/>
      <c r="R61" s="13" t="str">
        <f t="shared" si="13"/>
        <v/>
      </c>
      <c r="S61" s="13" t="str">
        <f t="shared" si="14"/>
        <v/>
      </c>
      <c r="T61" s="14" t="str">
        <f t="shared" si="15"/>
        <v/>
      </c>
      <c r="U61" s="14">
        <v>1000</v>
      </c>
      <c r="V61" s="14">
        <v>1000</v>
      </c>
      <c r="W61" s="8">
        <f t="shared" si="16"/>
        <v>7.6999999999999999E-2</v>
      </c>
      <c r="X61" s="13" t="str">
        <f t="shared" si="17"/>
        <v/>
      </c>
      <c r="Y61" s="13" t="str">
        <f t="shared" si="18"/>
        <v/>
      </c>
      <c r="Z61" s="15" t="str">
        <f t="shared" si="19"/>
        <v/>
      </c>
      <c r="AA61" s="15">
        <f t="shared" si="20"/>
        <v>900</v>
      </c>
      <c r="AB61" s="15" t="str">
        <f t="shared" si="21"/>
        <v/>
      </c>
      <c r="AC61" s="13" t="str">
        <f t="shared" si="22"/>
        <v/>
      </c>
      <c r="AD61" s="8" t="str">
        <f t="shared" si="23"/>
        <v/>
      </c>
      <c r="AE61" s="1"/>
      <c r="AF61" s="1"/>
      <c r="AG61" s="1"/>
    </row>
    <row r="62" spans="1:33" ht="15">
      <c r="A62" s="1">
        <f t="shared" si="12"/>
        <v>59</v>
      </c>
      <c r="B62" s="1"/>
      <c r="C62" s="1"/>
      <c r="D62" s="1"/>
      <c r="E62" s="1"/>
      <c r="F62" s="6"/>
      <c r="G62" s="5"/>
      <c r="H62" s="1"/>
      <c r="I62" s="1"/>
      <c r="J62" s="1"/>
      <c r="K62" s="1"/>
      <c r="L62" s="1"/>
      <c r="M62" s="1"/>
      <c r="N62" s="1"/>
      <c r="O62" s="1"/>
      <c r="P62" s="1"/>
      <c r="Q62" s="7"/>
      <c r="R62" s="13" t="str">
        <f t="shared" si="13"/>
        <v/>
      </c>
      <c r="S62" s="13" t="str">
        <f t="shared" si="14"/>
        <v/>
      </c>
      <c r="T62" s="14" t="str">
        <f t="shared" si="15"/>
        <v/>
      </c>
      <c r="U62" s="14">
        <v>1000</v>
      </c>
      <c r="V62" s="14">
        <v>1000</v>
      </c>
      <c r="W62" s="8">
        <f t="shared" si="16"/>
        <v>7.6999999999999999E-2</v>
      </c>
      <c r="X62" s="13" t="str">
        <f t="shared" si="17"/>
        <v/>
      </c>
      <c r="Y62" s="13" t="str">
        <f t="shared" si="18"/>
        <v/>
      </c>
      <c r="Z62" s="15" t="str">
        <f t="shared" si="19"/>
        <v/>
      </c>
      <c r="AA62" s="15">
        <f t="shared" si="20"/>
        <v>900</v>
      </c>
      <c r="AB62" s="15" t="str">
        <f t="shared" si="21"/>
        <v/>
      </c>
      <c r="AC62" s="13" t="str">
        <f t="shared" si="22"/>
        <v/>
      </c>
      <c r="AD62" s="8" t="str">
        <f t="shared" si="23"/>
        <v/>
      </c>
      <c r="AE62" s="1"/>
      <c r="AF62" s="1"/>
      <c r="AG62" s="1"/>
    </row>
    <row r="63" spans="1:33" ht="15">
      <c r="A63" s="1">
        <f t="shared" si="12"/>
        <v>60</v>
      </c>
      <c r="B63" s="1"/>
      <c r="C63" s="1"/>
      <c r="D63" s="1"/>
      <c r="E63" s="1"/>
      <c r="F63" s="6"/>
      <c r="G63" s="5"/>
      <c r="H63" s="1"/>
      <c r="I63" s="1"/>
      <c r="J63" s="1"/>
      <c r="K63" s="1"/>
      <c r="L63" s="1"/>
      <c r="M63" s="1"/>
      <c r="N63" s="1"/>
      <c r="O63" s="1"/>
      <c r="P63" s="1"/>
      <c r="Q63" s="7"/>
      <c r="R63" s="13" t="str">
        <f t="shared" si="13"/>
        <v/>
      </c>
      <c r="S63" s="13" t="str">
        <f t="shared" si="14"/>
        <v/>
      </c>
      <c r="T63" s="14" t="str">
        <f t="shared" si="15"/>
        <v/>
      </c>
      <c r="U63" s="14">
        <v>1000</v>
      </c>
      <c r="V63" s="14">
        <v>1000</v>
      </c>
      <c r="W63" s="8">
        <f t="shared" si="16"/>
        <v>7.6999999999999999E-2</v>
      </c>
      <c r="X63" s="13" t="str">
        <f t="shared" si="17"/>
        <v/>
      </c>
      <c r="Y63" s="13" t="str">
        <f t="shared" si="18"/>
        <v/>
      </c>
      <c r="Z63" s="15" t="str">
        <f t="shared" si="19"/>
        <v/>
      </c>
      <c r="AA63" s="15">
        <f t="shared" si="20"/>
        <v>900</v>
      </c>
      <c r="AB63" s="15" t="str">
        <f t="shared" si="21"/>
        <v/>
      </c>
      <c r="AC63" s="13" t="str">
        <f t="shared" si="22"/>
        <v/>
      </c>
      <c r="AD63" s="8" t="str">
        <f t="shared" si="23"/>
        <v/>
      </c>
      <c r="AE63" s="1"/>
      <c r="AF63" s="1"/>
      <c r="AG63" s="1"/>
    </row>
    <row r="64" spans="1:33" ht="15">
      <c r="A64" s="1">
        <f t="shared" si="12"/>
        <v>61</v>
      </c>
      <c r="B64" s="1"/>
      <c r="C64" s="1"/>
      <c r="D64" s="1"/>
      <c r="E64" s="1"/>
      <c r="F64" s="6"/>
      <c r="G64" s="5"/>
      <c r="H64" s="1"/>
      <c r="I64" s="1"/>
      <c r="J64" s="1"/>
      <c r="K64" s="1"/>
      <c r="L64" s="1"/>
      <c r="M64" s="1"/>
      <c r="N64" s="1"/>
      <c r="O64" s="1"/>
      <c r="P64" s="1"/>
      <c r="Q64" s="7"/>
      <c r="R64" s="13" t="str">
        <f t="shared" si="13"/>
        <v/>
      </c>
      <c r="S64" s="13" t="str">
        <f t="shared" si="14"/>
        <v/>
      </c>
      <c r="T64" s="14" t="str">
        <f t="shared" si="15"/>
        <v/>
      </c>
      <c r="U64" s="14">
        <v>1000</v>
      </c>
      <c r="V64" s="14">
        <v>1000</v>
      </c>
      <c r="W64" s="8">
        <f t="shared" si="16"/>
        <v>7.6999999999999999E-2</v>
      </c>
      <c r="X64" s="13" t="str">
        <f t="shared" si="17"/>
        <v/>
      </c>
      <c r="Y64" s="13" t="str">
        <f t="shared" si="18"/>
        <v/>
      </c>
      <c r="Z64" s="15" t="str">
        <f t="shared" si="19"/>
        <v/>
      </c>
      <c r="AA64" s="15">
        <f t="shared" si="20"/>
        <v>900</v>
      </c>
      <c r="AB64" s="15" t="str">
        <f t="shared" si="21"/>
        <v/>
      </c>
      <c r="AC64" s="13" t="str">
        <f t="shared" si="22"/>
        <v/>
      </c>
      <c r="AD64" s="8" t="str">
        <f t="shared" si="23"/>
        <v/>
      </c>
      <c r="AE64" s="1"/>
      <c r="AF64" s="1"/>
      <c r="AG64" s="1"/>
    </row>
    <row r="65" spans="1:33" ht="15">
      <c r="A65" s="1">
        <f t="shared" si="12"/>
        <v>62</v>
      </c>
      <c r="B65" s="1"/>
      <c r="C65" s="1"/>
      <c r="D65" s="1"/>
      <c r="E65" s="1"/>
      <c r="F65" s="6"/>
      <c r="G65" s="5"/>
      <c r="H65" s="1"/>
      <c r="I65" s="1"/>
      <c r="J65" s="1"/>
      <c r="K65" s="1"/>
      <c r="L65" s="1"/>
      <c r="M65" s="1"/>
      <c r="N65" s="1"/>
      <c r="O65" s="1"/>
      <c r="P65" s="1"/>
      <c r="Q65" s="7"/>
      <c r="R65" s="13" t="str">
        <f t="shared" si="13"/>
        <v/>
      </c>
      <c r="S65" s="13" t="str">
        <f t="shared" si="14"/>
        <v/>
      </c>
      <c r="T65" s="14" t="str">
        <f t="shared" si="15"/>
        <v/>
      </c>
      <c r="U65" s="14">
        <v>1000</v>
      </c>
      <c r="V65" s="14">
        <v>1000</v>
      </c>
      <c r="W65" s="8">
        <f t="shared" si="16"/>
        <v>7.6999999999999999E-2</v>
      </c>
      <c r="X65" s="13" t="str">
        <f t="shared" si="17"/>
        <v/>
      </c>
      <c r="Y65" s="13" t="str">
        <f t="shared" si="18"/>
        <v/>
      </c>
      <c r="Z65" s="15" t="str">
        <f t="shared" si="19"/>
        <v/>
      </c>
      <c r="AA65" s="15">
        <f t="shared" si="20"/>
        <v>900</v>
      </c>
      <c r="AB65" s="15" t="str">
        <f t="shared" si="21"/>
        <v/>
      </c>
      <c r="AC65" s="13" t="str">
        <f t="shared" si="22"/>
        <v/>
      </c>
      <c r="AD65" s="8" t="str">
        <f t="shared" si="23"/>
        <v/>
      </c>
      <c r="AE65" s="1"/>
      <c r="AF65" s="1"/>
      <c r="AG65" s="1"/>
    </row>
    <row r="66" spans="1:33" ht="15">
      <c r="A66" s="1">
        <f t="shared" si="12"/>
        <v>63</v>
      </c>
      <c r="B66" s="1"/>
      <c r="C66" s="1"/>
      <c r="D66" s="1"/>
      <c r="E66" s="1"/>
      <c r="F66" s="6"/>
      <c r="G66" s="5"/>
      <c r="H66" s="1"/>
      <c r="I66" s="1"/>
      <c r="J66" s="1"/>
      <c r="K66" s="1"/>
      <c r="L66" s="1"/>
      <c r="M66" s="1"/>
      <c r="N66" s="1"/>
      <c r="O66" s="1"/>
      <c r="P66" s="1"/>
      <c r="Q66" s="7"/>
      <c r="R66" s="13" t="str">
        <f t="shared" si="13"/>
        <v/>
      </c>
      <c r="S66" s="13" t="str">
        <f t="shared" si="14"/>
        <v/>
      </c>
      <c r="T66" s="14" t="str">
        <f t="shared" si="15"/>
        <v/>
      </c>
      <c r="U66" s="14">
        <v>1000</v>
      </c>
      <c r="V66" s="14">
        <v>1000</v>
      </c>
      <c r="W66" s="8">
        <f t="shared" si="16"/>
        <v>7.6999999999999999E-2</v>
      </c>
      <c r="X66" s="13" t="str">
        <f t="shared" si="17"/>
        <v/>
      </c>
      <c r="Y66" s="13" t="str">
        <f t="shared" si="18"/>
        <v/>
      </c>
      <c r="Z66" s="15" t="str">
        <f t="shared" si="19"/>
        <v/>
      </c>
      <c r="AA66" s="15">
        <f t="shared" si="20"/>
        <v>900</v>
      </c>
      <c r="AB66" s="15" t="str">
        <f t="shared" si="21"/>
        <v/>
      </c>
      <c r="AC66" s="13" t="str">
        <f t="shared" si="22"/>
        <v/>
      </c>
      <c r="AD66" s="8" t="str">
        <f t="shared" si="23"/>
        <v/>
      </c>
      <c r="AE66" s="1"/>
      <c r="AF66" s="1"/>
      <c r="AG66" s="1"/>
    </row>
    <row r="67" spans="1:33" ht="15">
      <c r="A67" s="1">
        <f t="shared" si="12"/>
        <v>64</v>
      </c>
      <c r="B67" s="1"/>
      <c r="C67" s="1"/>
      <c r="D67" s="1"/>
      <c r="E67" s="1"/>
      <c r="F67" s="6"/>
      <c r="G67" s="5"/>
      <c r="H67" s="1"/>
      <c r="I67" s="1"/>
      <c r="J67" s="1"/>
      <c r="K67" s="1"/>
      <c r="L67" s="1"/>
      <c r="M67" s="1"/>
      <c r="N67" s="1"/>
      <c r="O67" s="1"/>
      <c r="P67" s="1"/>
      <c r="Q67" s="7"/>
      <c r="R67" s="13" t="str">
        <f t="shared" si="13"/>
        <v/>
      </c>
      <c r="S67" s="13" t="str">
        <f t="shared" si="14"/>
        <v/>
      </c>
      <c r="T67" s="14" t="str">
        <f t="shared" si="15"/>
        <v/>
      </c>
      <c r="U67" s="14">
        <v>1000</v>
      </c>
      <c r="V67" s="14">
        <v>1000</v>
      </c>
      <c r="W67" s="8">
        <f t="shared" si="16"/>
        <v>7.6999999999999999E-2</v>
      </c>
      <c r="X67" s="13" t="str">
        <f t="shared" si="17"/>
        <v/>
      </c>
      <c r="Y67" s="13" t="str">
        <f t="shared" si="18"/>
        <v/>
      </c>
      <c r="Z67" s="15" t="str">
        <f t="shared" si="19"/>
        <v/>
      </c>
      <c r="AA67" s="15">
        <f t="shared" si="20"/>
        <v>900</v>
      </c>
      <c r="AB67" s="15" t="str">
        <f t="shared" si="21"/>
        <v/>
      </c>
      <c r="AC67" s="13" t="str">
        <f t="shared" si="22"/>
        <v/>
      </c>
      <c r="AD67" s="8" t="str">
        <f t="shared" si="23"/>
        <v/>
      </c>
      <c r="AE67" s="1"/>
      <c r="AF67" s="1"/>
      <c r="AG67" s="1"/>
    </row>
    <row r="68" spans="1:33" ht="15">
      <c r="A68" s="1">
        <f t="shared" ref="A68:A99" si="24">ROW()-3</f>
        <v>65</v>
      </c>
      <c r="B68" s="1"/>
      <c r="C68" s="1"/>
      <c r="D68" s="1"/>
      <c r="E68" s="1"/>
      <c r="F68" s="6"/>
      <c r="G68" s="5"/>
      <c r="H68" s="1"/>
      <c r="I68" s="1"/>
      <c r="J68" s="1"/>
      <c r="K68" s="1"/>
      <c r="L68" s="1"/>
      <c r="M68" s="1"/>
      <c r="N68" s="1"/>
      <c r="O68" s="1"/>
      <c r="P68" s="1"/>
      <c r="Q68" s="7"/>
      <c r="R68" s="13" t="str">
        <f t="shared" ref="R68:R99" si="25">IF(OR(F68="",Q68=""),"",IF(OR(G68="USD",G68="EUR",G68="GBP"),F68*Q68,F68))</f>
        <v/>
      </c>
      <c r="S68" s="13" t="str">
        <f t="shared" ref="S68:S99" si="26">IF(Q68="","",IF(OR(J68="イギリス",J68="アメリカ",J68="イタリア",J68="フランス",J68="ドイツ",J68="スペイン",J68="オランダ",J68="ベルギー",J68="ポルトガル",J68="オーストリア",ISNUMBER(SEARCH("MyUS",K68))),ROUND(R68*0.08,0),0))</f>
        <v/>
      </c>
      <c r="T68" s="14" t="str">
        <f t="shared" ref="T68:T99" si="27">IF(Q68="","",IF(OR(ISNUMBER(SEARCH("コート",C68)),ISNUMBER(SEARCH("Coat",C68)),ISNUMBER(SEARCH("coat",C68))),15000,IF(OR(ISNUMBER(SEARCH("靴",C68)),ISNUMBER(SEARCH("スニーカー",C68)),ISNUMBER(SEARCH("Sneaker",C68)),ISNUMBER(SEARCH("sneaker",C68)),ISNUMBER(SEARCH("Shoes",C68)),ISNUMBER(SEARCH("shoes",C68)),ISNUMBER(SEARCH("Boot",C68)),ISNUMBER(SEARCH("boot",C68)),ISNUMBER(SEARCH("バッグ",C68)),ISNUMBER(SEARCH("Bag",C68)),ISNUMBER(SEARCH("bag",C68)),ISNUMBER(SEARCH("Tote",C68)),ISNUMBER(SEARCH("tote",C68)),ISNUMBER(SEARCH("Shoulder",C68)),ISNUMBER(SEARCH("shoulder",C68))),12000,7200)))</f>
        <v/>
      </c>
      <c r="U68" s="14">
        <v>1000</v>
      </c>
      <c r="V68" s="14">
        <v>1000</v>
      </c>
      <c r="W68" s="8">
        <f t="shared" ref="W68:W99" si="28">IF(A68="","",0.077)</f>
        <v>7.6999999999999999E-2</v>
      </c>
      <c r="X68" s="13" t="str">
        <f t="shared" ref="X68:X99" si="29">IF($Q68="","",ROUND(Y68*10%,0))</f>
        <v/>
      </c>
      <c r="Y68" s="13" t="str">
        <f t="shared" ref="Y68:Y99" si="30">IF(R68="","",R68+S68+T68+U68+V68)</f>
        <v/>
      </c>
      <c r="Z68" s="15" t="str">
        <f t="shared" ref="Z68:Z99" si="31">IF($Q68="","",IF(1-W68&lt;=0,"",ROUNDUP((Y68+X68)/(1-W68),0))-72)</f>
        <v/>
      </c>
      <c r="AA68" s="15">
        <f t="shared" ref="AA68:AA99" si="32">IF(A68="","",900)</f>
        <v>900</v>
      </c>
      <c r="AB68" s="15" t="str">
        <f t="shared" ref="AB68:AB99" si="33">IF(Z68="","",Z68+AA68)</f>
        <v/>
      </c>
      <c r="AC68" s="13" t="str">
        <f t="shared" ref="AC68:AC99" si="34">IF(Z68="","",Z68*(1-W68)-Y68)</f>
        <v/>
      </c>
      <c r="AD68" s="8" t="str">
        <f t="shared" ref="AD68:AD99" si="35">IF(AB68="","",AC68/AB68)</f>
        <v/>
      </c>
      <c r="AE68" s="1"/>
      <c r="AF68" s="1"/>
      <c r="AG68" s="1"/>
    </row>
    <row r="69" spans="1:33" ht="15">
      <c r="A69" s="1">
        <f t="shared" si="24"/>
        <v>66</v>
      </c>
      <c r="B69" s="1"/>
      <c r="C69" s="1"/>
      <c r="D69" s="1"/>
      <c r="E69" s="1"/>
      <c r="F69" s="6"/>
      <c r="G69" s="5"/>
      <c r="H69" s="1"/>
      <c r="I69" s="1"/>
      <c r="J69" s="1"/>
      <c r="K69" s="1"/>
      <c r="L69" s="1"/>
      <c r="M69" s="1"/>
      <c r="N69" s="1"/>
      <c r="O69" s="1"/>
      <c r="P69" s="1"/>
      <c r="Q69" s="7"/>
      <c r="R69" s="13" t="str">
        <f t="shared" si="25"/>
        <v/>
      </c>
      <c r="S69" s="13" t="str">
        <f t="shared" si="26"/>
        <v/>
      </c>
      <c r="T69" s="14" t="str">
        <f t="shared" si="27"/>
        <v/>
      </c>
      <c r="U69" s="14">
        <v>1000</v>
      </c>
      <c r="V69" s="14">
        <v>1000</v>
      </c>
      <c r="W69" s="8">
        <f t="shared" si="28"/>
        <v>7.6999999999999999E-2</v>
      </c>
      <c r="X69" s="13" t="str">
        <f t="shared" si="29"/>
        <v/>
      </c>
      <c r="Y69" s="13" t="str">
        <f t="shared" si="30"/>
        <v/>
      </c>
      <c r="Z69" s="15" t="str">
        <f t="shared" si="31"/>
        <v/>
      </c>
      <c r="AA69" s="15">
        <f t="shared" si="32"/>
        <v>900</v>
      </c>
      <c r="AB69" s="15" t="str">
        <f t="shared" si="33"/>
        <v/>
      </c>
      <c r="AC69" s="13" t="str">
        <f t="shared" si="34"/>
        <v/>
      </c>
      <c r="AD69" s="8" t="str">
        <f t="shared" si="35"/>
        <v/>
      </c>
      <c r="AE69" s="1"/>
      <c r="AF69" s="1"/>
      <c r="AG69" s="1"/>
    </row>
    <row r="70" spans="1:33" ht="15">
      <c r="A70" s="1">
        <f t="shared" si="24"/>
        <v>67</v>
      </c>
      <c r="B70" s="1"/>
      <c r="C70" s="1"/>
      <c r="D70" s="1"/>
      <c r="E70" s="1"/>
      <c r="F70" s="6"/>
      <c r="G70" s="5"/>
      <c r="H70" s="1"/>
      <c r="I70" s="1"/>
      <c r="J70" s="1"/>
      <c r="K70" s="1"/>
      <c r="L70" s="1"/>
      <c r="M70" s="1"/>
      <c r="N70" s="1"/>
      <c r="O70" s="1"/>
      <c r="P70" s="1"/>
      <c r="Q70" s="7"/>
      <c r="R70" s="13" t="str">
        <f t="shared" si="25"/>
        <v/>
      </c>
      <c r="S70" s="13" t="str">
        <f t="shared" si="26"/>
        <v/>
      </c>
      <c r="T70" s="14" t="str">
        <f t="shared" si="27"/>
        <v/>
      </c>
      <c r="U70" s="14">
        <v>1000</v>
      </c>
      <c r="V70" s="14">
        <v>1000</v>
      </c>
      <c r="W70" s="8">
        <f t="shared" si="28"/>
        <v>7.6999999999999999E-2</v>
      </c>
      <c r="X70" s="13" t="str">
        <f t="shared" si="29"/>
        <v/>
      </c>
      <c r="Y70" s="13" t="str">
        <f t="shared" si="30"/>
        <v/>
      </c>
      <c r="Z70" s="15" t="str">
        <f t="shared" si="31"/>
        <v/>
      </c>
      <c r="AA70" s="15">
        <f t="shared" si="32"/>
        <v>900</v>
      </c>
      <c r="AB70" s="15" t="str">
        <f t="shared" si="33"/>
        <v/>
      </c>
      <c r="AC70" s="13" t="str">
        <f t="shared" si="34"/>
        <v/>
      </c>
      <c r="AD70" s="8" t="str">
        <f t="shared" si="35"/>
        <v/>
      </c>
      <c r="AE70" s="1"/>
      <c r="AF70" s="1"/>
      <c r="AG70" s="1"/>
    </row>
    <row r="71" spans="1:33" ht="15">
      <c r="A71" s="1">
        <f t="shared" si="24"/>
        <v>68</v>
      </c>
      <c r="B71" s="1"/>
      <c r="C71" s="1"/>
      <c r="D71" s="1"/>
      <c r="E71" s="1"/>
      <c r="F71" s="6"/>
      <c r="G71" s="5"/>
      <c r="H71" s="1"/>
      <c r="I71" s="1"/>
      <c r="J71" s="1"/>
      <c r="K71" s="1"/>
      <c r="L71" s="1"/>
      <c r="M71" s="1"/>
      <c r="N71" s="1"/>
      <c r="O71" s="1"/>
      <c r="P71" s="1"/>
      <c r="Q71" s="7"/>
      <c r="R71" s="13" t="str">
        <f t="shared" si="25"/>
        <v/>
      </c>
      <c r="S71" s="13" t="str">
        <f t="shared" si="26"/>
        <v/>
      </c>
      <c r="T71" s="14" t="str">
        <f t="shared" si="27"/>
        <v/>
      </c>
      <c r="U71" s="14">
        <v>1000</v>
      </c>
      <c r="V71" s="14">
        <v>1000</v>
      </c>
      <c r="W71" s="8">
        <f t="shared" si="28"/>
        <v>7.6999999999999999E-2</v>
      </c>
      <c r="X71" s="13" t="str">
        <f t="shared" si="29"/>
        <v/>
      </c>
      <c r="Y71" s="13" t="str">
        <f t="shared" si="30"/>
        <v/>
      </c>
      <c r="Z71" s="15" t="str">
        <f t="shared" si="31"/>
        <v/>
      </c>
      <c r="AA71" s="15">
        <f t="shared" si="32"/>
        <v>900</v>
      </c>
      <c r="AB71" s="15" t="str">
        <f t="shared" si="33"/>
        <v/>
      </c>
      <c r="AC71" s="13" t="str">
        <f t="shared" si="34"/>
        <v/>
      </c>
      <c r="AD71" s="8" t="str">
        <f t="shared" si="35"/>
        <v/>
      </c>
      <c r="AE71" s="1"/>
      <c r="AF71" s="1"/>
      <c r="AG71" s="1"/>
    </row>
    <row r="72" spans="1:33" ht="15">
      <c r="A72" s="1">
        <f t="shared" si="24"/>
        <v>69</v>
      </c>
      <c r="B72" s="1"/>
      <c r="C72" s="1"/>
      <c r="D72" s="1"/>
      <c r="E72" s="1"/>
      <c r="F72" s="6"/>
      <c r="G72" s="5"/>
      <c r="H72" s="1"/>
      <c r="I72" s="1"/>
      <c r="J72" s="1"/>
      <c r="K72" s="1"/>
      <c r="L72" s="1"/>
      <c r="M72" s="1"/>
      <c r="N72" s="1"/>
      <c r="O72" s="1"/>
      <c r="P72" s="1"/>
      <c r="Q72" s="7"/>
      <c r="R72" s="13" t="str">
        <f t="shared" si="25"/>
        <v/>
      </c>
      <c r="S72" s="13" t="str">
        <f t="shared" si="26"/>
        <v/>
      </c>
      <c r="T72" s="14" t="str">
        <f t="shared" si="27"/>
        <v/>
      </c>
      <c r="U72" s="14">
        <v>1000</v>
      </c>
      <c r="V72" s="14">
        <v>1000</v>
      </c>
      <c r="W72" s="8">
        <f t="shared" si="28"/>
        <v>7.6999999999999999E-2</v>
      </c>
      <c r="X72" s="13" t="str">
        <f t="shared" si="29"/>
        <v/>
      </c>
      <c r="Y72" s="13" t="str">
        <f t="shared" si="30"/>
        <v/>
      </c>
      <c r="Z72" s="15" t="str">
        <f t="shared" si="31"/>
        <v/>
      </c>
      <c r="AA72" s="15">
        <f t="shared" si="32"/>
        <v>900</v>
      </c>
      <c r="AB72" s="15" t="str">
        <f t="shared" si="33"/>
        <v/>
      </c>
      <c r="AC72" s="13" t="str">
        <f t="shared" si="34"/>
        <v/>
      </c>
      <c r="AD72" s="8" t="str">
        <f t="shared" si="35"/>
        <v/>
      </c>
      <c r="AE72" s="1"/>
      <c r="AF72" s="1"/>
      <c r="AG72" s="1"/>
    </row>
    <row r="73" spans="1:33" ht="15">
      <c r="A73" s="1">
        <f t="shared" si="24"/>
        <v>70</v>
      </c>
      <c r="B73" s="1"/>
      <c r="C73" s="1"/>
      <c r="D73" s="1"/>
      <c r="E73" s="1"/>
      <c r="F73" s="6"/>
      <c r="G73" s="5"/>
      <c r="H73" s="1"/>
      <c r="I73" s="1"/>
      <c r="J73" s="1"/>
      <c r="K73" s="1"/>
      <c r="L73" s="1"/>
      <c r="M73" s="1"/>
      <c r="N73" s="1"/>
      <c r="O73" s="1"/>
      <c r="P73" s="1"/>
      <c r="Q73" s="7"/>
      <c r="R73" s="13" t="str">
        <f t="shared" si="25"/>
        <v/>
      </c>
      <c r="S73" s="13" t="str">
        <f t="shared" si="26"/>
        <v/>
      </c>
      <c r="T73" s="14" t="str">
        <f t="shared" si="27"/>
        <v/>
      </c>
      <c r="U73" s="14">
        <v>1000</v>
      </c>
      <c r="V73" s="14">
        <v>1000</v>
      </c>
      <c r="W73" s="8">
        <f t="shared" si="28"/>
        <v>7.6999999999999999E-2</v>
      </c>
      <c r="X73" s="13" t="str">
        <f t="shared" si="29"/>
        <v/>
      </c>
      <c r="Y73" s="13" t="str">
        <f t="shared" si="30"/>
        <v/>
      </c>
      <c r="Z73" s="15" t="str">
        <f t="shared" si="31"/>
        <v/>
      </c>
      <c r="AA73" s="15">
        <f t="shared" si="32"/>
        <v>900</v>
      </c>
      <c r="AB73" s="15" t="str">
        <f t="shared" si="33"/>
        <v/>
      </c>
      <c r="AC73" s="13" t="str">
        <f t="shared" si="34"/>
        <v/>
      </c>
      <c r="AD73" s="8" t="str">
        <f t="shared" si="35"/>
        <v/>
      </c>
      <c r="AE73" s="1"/>
      <c r="AF73" s="1"/>
      <c r="AG73" s="1"/>
    </row>
    <row r="74" spans="1:33" ht="15">
      <c r="A74" s="1">
        <f t="shared" si="24"/>
        <v>71</v>
      </c>
      <c r="B74" s="1"/>
      <c r="C74" s="1"/>
      <c r="D74" s="1"/>
      <c r="E74" s="1"/>
      <c r="F74" s="6"/>
      <c r="G74" s="5"/>
      <c r="H74" s="1"/>
      <c r="I74" s="1"/>
      <c r="J74" s="1"/>
      <c r="K74" s="1"/>
      <c r="L74" s="1"/>
      <c r="M74" s="1"/>
      <c r="N74" s="1"/>
      <c r="O74" s="1"/>
      <c r="P74" s="1"/>
      <c r="Q74" s="7"/>
      <c r="R74" s="13" t="str">
        <f t="shared" si="25"/>
        <v/>
      </c>
      <c r="S74" s="13" t="str">
        <f t="shared" si="26"/>
        <v/>
      </c>
      <c r="T74" s="14" t="str">
        <f t="shared" si="27"/>
        <v/>
      </c>
      <c r="U74" s="14">
        <v>1000</v>
      </c>
      <c r="V74" s="14">
        <v>1000</v>
      </c>
      <c r="W74" s="8">
        <f t="shared" si="28"/>
        <v>7.6999999999999999E-2</v>
      </c>
      <c r="X74" s="13" t="str">
        <f t="shared" si="29"/>
        <v/>
      </c>
      <c r="Y74" s="13" t="str">
        <f t="shared" si="30"/>
        <v/>
      </c>
      <c r="Z74" s="15" t="str">
        <f t="shared" si="31"/>
        <v/>
      </c>
      <c r="AA74" s="15">
        <f t="shared" si="32"/>
        <v>900</v>
      </c>
      <c r="AB74" s="15" t="str">
        <f t="shared" si="33"/>
        <v/>
      </c>
      <c r="AC74" s="13" t="str">
        <f t="shared" si="34"/>
        <v/>
      </c>
      <c r="AD74" s="8" t="str">
        <f t="shared" si="35"/>
        <v/>
      </c>
      <c r="AE74" s="1"/>
      <c r="AF74" s="1"/>
      <c r="AG74" s="1"/>
    </row>
    <row r="75" spans="1:33" ht="15">
      <c r="A75" s="1">
        <f t="shared" si="24"/>
        <v>72</v>
      </c>
      <c r="B75" s="1"/>
      <c r="C75" s="1"/>
      <c r="D75" s="1"/>
      <c r="E75" s="1"/>
      <c r="F75" s="6"/>
      <c r="G75" s="5"/>
      <c r="H75" s="1"/>
      <c r="I75" s="1"/>
      <c r="J75" s="1"/>
      <c r="K75" s="1"/>
      <c r="L75" s="1"/>
      <c r="M75" s="1"/>
      <c r="N75" s="1"/>
      <c r="O75" s="1"/>
      <c r="P75" s="1"/>
      <c r="Q75" s="7"/>
      <c r="R75" s="13" t="str">
        <f t="shared" si="25"/>
        <v/>
      </c>
      <c r="S75" s="13" t="str">
        <f t="shared" si="26"/>
        <v/>
      </c>
      <c r="T75" s="14" t="str">
        <f t="shared" si="27"/>
        <v/>
      </c>
      <c r="U75" s="14">
        <v>1000</v>
      </c>
      <c r="V75" s="14">
        <v>1000</v>
      </c>
      <c r="W75" s="8">
        <f t="shared" si="28"/>
        <v>7.6999999999999999E-2</v>
      </c>
      <c r="X75" s="13" t="str">
        <f t="shared" si="29"/>
        <v/>
      </c>
      <c r="Y75" s="13" t="str">
        <f t="shared" si="30"/>
        <v/>
      </c>
      <c r="Z75" s="15" t="str">
        <f t="shared" si="31"/>
        <v/>
      </c>
      <c r="AA75" s="15">
        <f t="shared" si="32"/>
        <v>900</v>
      </c>
      <c r="AB75" s="15" t="str">
        <f t="shared" si="33"/>
        <v/>
      </c>
      <c r="AC75" s="13" t="str">
        <f t="shared" si="34"/>
        <v/>
      </c>
      <c r="AD75" s="8" t="str">
        <f t="shared" si="35"/>
        <v/>
      </c>
      <c r="AE75" s="1"/>
      <c r="AF75" s="1"/>
      <c r="AG75" s="1"/>
    </row>
    <row r="76" spans="1:33" ht="15">
      <c r="A76" s="1">
        <f t="shared" si="24"/>
        <v>73</v>
      </c>
      <c r="B76" s="1"/>
      <c r="C76" s="1"/>
      <c r="D76" s="1"/>
      <c r="E76" s="1"/>
      <c r="F76" s="6"/>
      <c r="G76" s="5"/>
      <c r="H76" s="1"/>
      <c r="I76" s="1"/>
      <c r="J76" s="1"/>
      <c r="K76" s="1"/>
      <c r="L76" s="1"/>
      <c r="M76" s="1"/>
      <c r="N76" s="1"/>
      <c r="O76" s="1"/>
      <c r="P76" s="1"/>
      <c r="Q76" s="7"/>
      <c r="R76" s="13" t="str">
        <f t="shared" si="25"/>
        <v/>
      </c>
      <c r="S76" s="13" t="str">
        <f t="shared" si="26"/>
        <v/>
      </c>
      <c r="T76" s="14" t="str">
        <f t="shared" si="27"/>
        <v/>
      </c>
      <c r="U76" s="14">
        <v>1000</v>
      </c>
      <c r="V76" s="14">
        <v>1000</v>
      </c>
      <c r="W76" s="8">
        <f t="shared" si="28"/>
        <v>7.6999999999999999E-2</v>
      </c>
      <c r="X76" s="13" t="str">
        <f t="shared" si="29"/>
        <v/>
      </c>
      <c r="Y76" s="13" t="str">
        <f t="shared" si="30"/>
        <v/>
      </c>
      <c r="Z76" s="15" t="str">
        <f t="shared" si="31"/>
        <v/>
      </c>
      <c r="AA76" s="15">
        <f t="shared" si="32"/>
        <v>900</v>
      </c>
      <c r="AB76" s="15" t="str">
        <f t="shared" si="33"/>
        <v/>
      </c>
      <c r="AC76" s="13" t="str">
        <f t="shared" si="34"/>
        <v/>
      </c>
      <c r="AD76" s="8" t="str">
        <f t="shared" si="35"/>
        <v/>
      </c>
      <c r="AE76" s="1"/>
      <c r="AF76" s="1"/>
      <c r="AG76" s="1"/>
    </row>
    <row r="77" spans="1:33" ht="15">
      <c r="A77" s="1">
        <f t="shared" si="24"/>
        <v>74</v>
      </c>
      <c r="B77" s="1"/>
      <c r="C77" s="1"/>
      <c r="D77" s="1"/>
      <c r="E77" s="1"/>
      <c r="F77" s="6"/>
      <c r="G77" s="5"/>
      <c r="H77" s="1"/>
      <c r="I77" s="1"/>
      <c r="J77" s="1"/>
      <c r="K77" s="1"/>
      <c r="L77" s="1"/>
      <c r="M77" s="1"/>
      <c r="N77" s="1"/>
      <c r="O77" s="1"/>
      <c r="P77" s="1"/>
      <c r="Q77" s="7"/>
      <c r="R77" s="13" t="str">
        <f t="shared" si="25"/>
        <v/>
      </c>
      <c r="S77" s="13" t="str">
        <f t="shared" si="26"/>
        <v/>
      </c>
      <c r="T77" s="14" t="str">
        <f t="shared" si="27"/>
        <v/>
      </c>
      <c r="U77" s="14">
        <v>1000</v>
      </c>
      <c r="V77" s="14">
        <v>1000</v>
      </c>
      <c r="W77" s="8">
        <f t="shared" si="28"/>
        <v>7.6999999999999999E-2</v>
      </c>
      <c r="X77" s="13" t="str">
        <f t="shared" si="29"/>
        <v/>
      </c>
      <c r="Y77" s="13" t="str">
        <f t="shared" si="30"/>
        <v/>
      </c>
      <c r="Z77" s="15" t="str">
        <f t="shared" si="31"/>
        <v/>
      </c>
      <c r="AA77" s="15">
        <f t="shared" si="32"/>
        <v>900</v>
      </c>
      <c r="AB77" s="15" t="str">
        <f t="shared" si="33"/>
        <v/>
      </c>
      <c r="AC77" s="13" t="str">
        <f t="shared" si="34"/>
        <v/>
      </c>
      <c r="AD77" s="8" t="str">
        <f t="shared" si="35"/>
        <v/>
      </c>
      <c r="AE77" s="1"/>
      <c r="AF77" s="1"/>
      <c r="AG77" s="1"/>
    </row>
    <row r="78" spans="1:33" ht="15">
      <c r="A78" s="1">
        <f t="shared" si="24"/>
        <v>75</v>
      </c>
      <c r="B78" s="1"/>
      <c r="C78" s="1"/>
      <c r="D78" s="1"/>
      <c r="E78" s="1"/>
      <c r="F78" s="6"/>
      <c r="G78" s="5"/>
      <c r="H78" s="1"/>
      <c r="I78" s="1"/>
      <c r="J78" s="1"/>
      <c r="K78" s="1"/>
      <c r="L78" s="1"/>
      <c r="M78" s="1"/>
      <c r="N78" s="1"/>
      <c r="O78" s="1"/>
      <c r="P78" s="1"/>
      <c r="Q78" s="7"/>
      <c r="R78" s="13" t="str">
        <f t="shared" si="25"/>
        <v/>
      </c>
      <c r="S78" s="13" t="str">
        <f t="shared" si="26"/>
        <v/>
      </c>
      <c r="T78" s="14" t="str">
        <f t="shared" si="27"/>
        <v/>
      </c>
      <c r="U78" s="14">
        <v>1000</v>
      </c>
      <c r="V78" s="14">
        <v>1000</v>
      </c>
      <c r="W78" s="8">
        <f t="shared" si="28"/>
        <v>7.6999999999999999E-2</v>
      </c>
      <c r="X78" s="13" t="str">
        <f t="shared" si="29"/>
        <v/>
      </c>
      <c r="Y78" s="13" t="str">
        <f t="shared" si="30"/>
        <v/>
      </c>
      <c r="Z78" s="15" t="str">
        <f t="shared" si="31"/>
        <v/>
      </c>
      <c r="AA78" s="15">
        <f t="shared" si="32"/>
        <v>900</v>
      </c>
      <c r="AB78" s="15" t="str">
        <f t="shared" si="33"/>
        <v/>
      </c>
      <c r="AC78" s="13" t="str">
        <f t="shared" si="34"/>
        <v/>
      </c>
      <c r="AD78" s="8" t="str">
        <f t="shared" si="35"/>
        <v/>
      </c>
      <c r="AE78" s="1"/>
      <c r="AF78" s="1"/>
      <c r="AG78" s="1"/>
    </row>
    <row r="79" spans="1:33" ht="15">
      <c r="A79" s="1">
        <f t="shared" si="24"/>
        <v>76</v>
      </c>
      <c r="B79" s="1"/>
      <c r="C79" s="1"/>
      <c r="D79" s="1"/>
      <c r="E79" s="1"/>
      <c r="F79" s="6"/>
      <c r="G79" s="5"/>
      <c r="H79" s="1"/>
      <c r="I79" s="1"/>
      <c r="J79" s="1"/>
      <c r="K79" s="1"/>
      <c r="L79" s="1"/>
      <c r="M79" s="1"/>
      <c r="N79" s="1"/>
      <c r="O79" s="1"/>
      <c r="P79" s="1"/>
      <c r="Q79" s="7"/>
      <c r="R79" s="13" t="str">
        <f t="shared" si="25"/>
        <v/>
      </c>
      <c r="S79" s="13" t="str">
        <f t="shared" si="26"/>
        <v/>
      </c>
      <c r="T79" s="14" t="str">
        <f t="shared" si="27"/>
        <v/>
      </c>
      <c r="U79" s="14">
        <v>1000</v>
      </c>
      <c r="V79" s="14">
        <v>1000</v>
      </c>
      <c r="W79" s="8">
        <f t="shared" si="28"/>
        <v>7.6999999999999999E-2</v>
      </c>
      <c r="X79" s="13" t="str">
        <f t="shared" si="29"/>
        <v/>
      </c>
      <c r="Y79" s="13" t="str">
        <f t="shared" si="30"/>
        <v/>
      </c>
      <c r="Z79" s="15" t="str">
        <f t="shared" si="31"/>
        <v/>
      </c>
      <c r="AA79" s="15">
        <f t="shared" si="32"/>
        <v>900</v>
      </c>
      <c r="AB79" s="15" t="str">
        <f t="shared" si="33"/>
        <v/>
      </c>
      <c r="AC79" s="13" t="str">
        <f t="shared" si="34"/>
        <v/>
      </c>
      <c r="AD79" s="8" t="str">
        <f t="shared" si="35"/>
        <v/>
      </c>
      <c r="AE79" s="1"/>
      <c r="AF79" s="1"/>
      <c r="AG79" s="1"/>
    </row>
    <row r="80" spans="1:33" ht="15">
      <c r="A80" s="1">
        <f t="shared" si="24"/>
        <v>77</v>
      </c>
      <c r="B80" s="1"/>
      <c r="C80" s="1"/>
      <c r="D80" s="1"/>
      <c r="E80" s="1"/>
      <c r="F80" s="6"/>
      <c r="G80" s="5"/>
      <c r="H80" s="1"/>
      <c r="I80" s="1"/>
      <c r="J80" s="1"/>
      <c r="K80" s="1"/>
      <c r="L80" s="1"/>
      <c r="M80" s="1"/>
      <c r="N80" s="1"/>
      <c r="O80" s="1"/>
      <c r="P80" s="1"/>
      <c r="Q80" s="7"/>
      <c r="R80" s="13" t="str">
        <f t="shared" si="25"/>
        <v/>
      </c>
      <c r="S80" s="13" t="str">
        <f t="shared" si="26"/>
        <v/>
      </c>
      <c r="T80" s="14" t="str">
        <f t="shared" si="27"/>
        <v/>
      </c>
      <c r="U80" s="14">
        <v>1000</v>
      </c>
      <c r="V80" s="14">
        <v>1000</v>
      </c>
      <c r="W80" s="8">
        <f t="shared" si="28"/>
        <v>7.6999999999999999E-2</v>
      </c>
      <c r="X80" s="13" t="str">
        <f t="shared" si="29"/>
        <v/>
      </c>
      <c r="Y80" s="13" t="str">
        <f t="shared" si="30"/>
        <v/>
      </c>
      <c r="Z80" s="15" t="str">
        <f t="shared" si="31"/>
        <v/>
      </c>
      <c r="AA80" s="15">
        <f t="shared" si="32"/>
        <v>900</v>
      </c>
      <c r="AB80" s="15" t="str">
        <f t="shared" si="33"/>
        <v/>
      </c>
      <c r="AC80" s="13" t="str">
        <f t="shared" si="34"/>
        <v/>
      </c>
      <c r="AD80" s="8" t="str">
        <f t="shared" si="35"/>
        <v/>
      </c>
      <c r="AE80" s="1"/>
      <c r="AF80" s="1"/>
      <c r="AG80" s="1"/>
    </row>
    <row r="81" spans="1:33" ht="15">
      <c r="A81" s="1">
        <f t="shared" si="24"/>
        <v>78</v>
      </c>
      <c r="B81" s="1"/>
      <c r="C81" s="1"/>
      <c r="D81" s="1"/>
      <c r="E81" s="1"/>
      <c r="F81" s="6"/>
      <c r="G81" s="5"/>
      <c r="H81" s="1"/>
      <c r="I81" s="1"/>
      <c r="J81" s="1"/>
      <c r="K81" s="1"/>
      <c r="L81" s="1"/>
      <c r="M81" s="1"/>
      <c r="N81" s="1"/>
      <c r="O81" s="1"/>
      <c r="P81" s="1"/>
      <c r="Q81" s="7"/>
      <c r="R81" s="13" t="str">
        <f t="shared" si="25"/>
        <v/>
      </c>
      <c r="S81" s="13" t="str">
        <f t="shared" si="26"/>
        <v/>
      </c>
      <c r="T81" s="14" t="str">
        <f t="shared" si="27"/>
        <v/>
      </c>
      <c r="U81" s="14">
        <v>1000</v>
      </c>
      <c r="V81" s="14">
        <v>1000</v>
      </c>
      <c r="W81" s="8">
        <f t="shared" si="28"/>
        <v>7.6999999999999999E-2</v>
      </c>
      <c r="X81" s="13" t="str">
        <f t="shared" si="29"/>
        <v/>
      </c>
      <c r="Y81" s="13" t="str">
        <f t="shared" si="30"/>
        <v/>
      </c>
      <c r="Z81" s="15" t="str">
        <f t="shared" si="31"/>
        <v/>
      </c>
      <c r="AA81" s="15">
        <f t="shared" si="32"/>
        <v>900</v>
      </c>
      <c r="AB81" s="15" t="str">
        <f t="shared" si="33"/>
        <v/>
      </c>
      <c r="AC81" s="13" t="str">
        <f t="shared" si="34"/>
        <v/>
      </c>
      <c r="AD81" s="8" t="str">
        <f t="shared" si="35"/>
        <v/>
      </c>
      <c r="AE81" s="1"/>
      <c r="AF81" s="1"/>
      <c r="AG81" s="1"/>
    </row>
    <row r="82" spans="1:33" ht="15">
      <c r="A82" s="1">
        <f t="shared" si="24"/>
        <v>79</v>
      </c>
      <c r="B82" s="1"/>
      <c r="C82" s="1"/>
      <c r="D82" s="1"/>
      <c r="E82" s="1"/>
      <c r="F82" s="6"/>
      <c r="G82" s="5"/>
      <c r="H82" s="1"/>
      <c r="I82" s="1"/>
      <c r="J82" s="1"/>
      <c r="K82" s="1"/>
      <c r="L82" s="1"/>
      <c r="M82" s="1"/>
      <c r="N82" s="1"/>
      <c r="O82" s="1"/>
      <c r="P82" s="1"/>
      <c r="Q82" s="7"/>
      <c r="R82" s="13" t="str">
        <f t="shared" si="25"/>
        <v/>
      </c>
      <c r="S82" s="13" t="str">
        <f t="shared" si="26"/>
        <v/>
      </c>
      <c r="T82" s="14" t="str">
        <f t="shared" si="27"/>
        <v/>
      </c>
      <c r="U82" s="14">
        <v>1000</v>
      </c>
      <c r="V82" s="14">
        <v>1000</v>
      </c>
      <c r="W82" s="8">
        <f t="shared" si="28"/>
        <v>7.6999999999999999E-2</v>
      </c>
      <c r="X82" s="13" t="str">
        <f t="shared" si="29"/>
        <v/>
      </c>
      <c r="Y82" s="13" t="str">
        <f t="shared" si="30"/>
        <v/>
      </c>
      <c r="Z82" s="15" t="str">
        <f t="shared" si="31"/>
        <v/>
      </c>
      <c r="AA82" s="15">
        <f t="shared" si="32"/>
        <v>900</v>
      </c>
      <c r="AB82" s="15" t="str">
        <f t="shared" si="33"/>
        <v/>
      </c>
      <c r="AC82" s="13" t="str">
        <f t="shared" si="34"/>
        <v/>
      </c>
      <c r="AD82" s="8" t="str">
        <f t="shared" si="35"/>
        <v/>
      </c>
      <c r="AE82" s="1"/>
      <c r="AF82" s="1"/>
      <c r="AG82" s="1"/>
    </row>
    <row r="83" spans="1:33" ht="15">
      <c r="A83" s="1">
        <f t="shared" si="24"/>
        <v>80</v>
      </c>
      <c r="B83" s="1"/>
      <c r="C83" s="1"/>
      <c r="D83" s="1"/>
      <c r="E83" s="1"/>
      <c r="F83" s="6"/>
      <c r="G83" s="5"/>
      <c r="H83" s="1"/>
      <c r="I83" s="1"/>
      <c r="J83" s="1"/>
      <c r="K83" s="1"/>
      <c r="L83" s="1"/>
      <c r="M83" s="1"/>
      <c r="N83" s="1"/>
      <c r="O83" s="1"/>
      <c r="P83" s="1"/>
      <c r="Q83" s="7"/>
      <c r="R83" s="13" t="str">
        <f t="shared" si="25"/>
        <v/>
      </c>
      <c r="S83" s="13" t="str">
        <f t="shared" si="26"/>
        <v/>
      </c>
      <c r="T83" s="14" t="str">
        <f t="shared" si="27"/>
        <v/>
      </c>
      <c r="U83" s="14">
        <v>1000</v>
      </c>
      <c r="V83" s="14">
        <v>1000</v>
      </c>
      <c r="W83" s="8">
        <f t="shared" si="28"/>
        <v>7.6999999999999999E-2</v>
      </c>
      <c r="X83" s="13" t="str">
        <f t="shared" si="29"/>
        <v/>
      </c>
      <c r="Y83" s="13" t="str">
        <f t="shared" si="30"/>
        <v/>
      </c>
      <c r="Z83" s="15" t="str">
        <f t="shared" si="31"/>
        <v/>
      </c>
      <c r="AA83" s="15">
        <f t="shared" si="32"/>
        <v>900</v>
      </c>
      <c r="AB83" s="15" t="str">
        <f t="shared" si="33"/>
        <v/>
      </c>
      <c r="AC83" s="13" t="str">
        <f t="shared" si="34"/>
        <v/>
      </c>
      <c r="AD83" s="8" t="str">
        <f t="shared" si="35"/>
        <v/>
      </c>
      <c r="AE83" s="1"/>
      <c r="AF83" s="1"/>
      <c r="AG83" s="1"/>
    </row>
    <row r="84" spans="1:33" ht="15">
      <c r="A84" s="1">
        <f t="shared" si="24"/>
        <v>81</v>
      </c>
      <c r="B84" s="1"/>
      <c r="C84" s="1"/>
      <c r="D84" s="1"/>
      <c r="E84" s="1"/>
      <c r="F84" s="6"/>
      <c r="G84" s="5"/>
      <c r="H84" s="1"/>
      <c r="I84" s="1"/>
      <c r="J84" s="1"/>
      <c r="K84" s="1"/>
      <c r="L84" s="1"/>
      <c r="M84" s="1"/>
      <c r="N84" s="1"/>
      <c r="O84" s="1"/>
      <c r="P84" s="1"/>
      <c r="Q84" s="7"/>
      <c r="R84" s="13" t="str">
        <f t="shared" si="25"/>
        <v/>
      </c>
      <c r="S84" s="13" t="str">
        <f t="shared" si="26"/>
        <v/>
      </c>
      <c r="T84" s="14" t="str">
        <f t="shared" si="27"/>
        <v/>
      </c>
      <c r="U84" s="14">
        <v>1000</v>
      </c>
      <c r="V84" s="14">
        <v>1000</v>
      </c>
      <c r="W84" s="8">
        <f t="shared" si="28"/>
        <v>7.6999999999999999E-2</v>
      </c>
      <c r="X84" s="13" t="str">
        <f t="shared" si="29"/>
        <v/>
      </c>
      <c r="Y84" s="13" t="str">
        <f t="shared" si="30"/>
        <v/>
      </c>
      <c r="Z84" s="15" t="str">
        <f t="shared" si="31"/>
        <v/>
      </c>
      <c r="AA84" s="15">
        <f t="shared" si="32"/>
        <v>900</v>
      </c>
      <c r="AB84" s="15" t="str">
        <f t="shared" si="33"/>
        <v/>
      </c>
      <c r="AC84" s="13" t="str">
        <f t="shared" si="34"/>
        <v/>
      </c>
      <c r="AD84" s="8" t="str">
        <f t="shared" si="35"/>
        <v/>
      </c>
      <c r="AE84" s="1"/>
      <c r="AF84" s="1"/>
      <c r="AG84" s="1"/>
    </row>
    <row r="85" spans="1:33" ht="15">
      <c r="A85" s="1">
        <f t="shared" si="24"/>
        <v>82</v>
      </c>
      <c r="B85" s="1"/>
      <c r="C85" s="1"/>
      <c r="D85" s="1"/>
      <c r="E85" s="1"/>
      <c r="F85" s="6"/>
      <c r="G85" s="5"/>
      <c r="H85" s="1"/>
      <c r="I85" s="1"/>
      <c r="J85" s="1"/>
      <c r="K85" s="1"/>
      <c r="L85" s="1"/>
      <c r="M85" s="1"/>
      <c r="N85" s="1"/>
      <c r="O85" s="1"/>
      <c r="P85" s="1"/>
      <c r="Q85" s="7"/>
      <c r="R85" s="13" t="str">
        <f t="shared" si="25"/>
        <v/>
      </c>
      <c r="S85" s="13" t="str">
        <f t="shared" si="26"/>
        <v/>
      </c>
      <c r="T85" s="14" t="str">
        <f t="shared" si="27"/>
        <v/>
      </c>
      <c r="U85" s="14">
        <v>1000</v>
      </c>
      <c r="V85" s="14">
        <v>1000</v>
      </c>
      <c r="W85" s="8">
        <f t="shared" si="28"/>
        <v>7.6999999999999999E-2</v>
      </c>
      <c r="X85" s="13" t="str">
        <f t="shared" si="29"/>
        <v/>
      </c>
      <c r="Y85" s="13" t="str">
        <f t="shared" si="30"/>
        <v/>
      </c>
      <c r="Z85" s="15" t="str">
        <f t="shared" si="31"/>
        <v/>
      </c>
      <c r="AA85" s="15">
        <f t="shared" si="32"/>
        <v>900</v>
      </c>
      <c r="AB85" s="15" t="str">
        <f t="shared" si="33"/>
        <v/>
      </c>
      <c r="AC85" s="13" t="str">
        <f t="shared" si="34"/>
        <v/>
      </c>
      <c r="AD85" s="8" t="str">
        <f t="shared" si="35"/>
        <v/>
      </c>
      <c r="AE85" s="1"/>
      <c r="AF85" s="1"/>
      <c r="AG85" s="1"/>
    </row>
    <row r="86" spans="1:33" ht="15">
      <c r="A86" s="1">
        <f t="shared" si="24"/>
        <v>83</v>
      </c>
      <c r="B86" s="1"/>
      <c r="C86" s="1"/>
      <c r="D86" s="1"/>
      <c r="E86" s="1"/>
      <c r="F86" s="6"/>
      <c r="G86" s="5"/>
      <c r="H86" s="1"/>
      <c r="I86" s="1"/>
      <c r="J86" s="1"/>
      <c r="K86" s="1"/>
      <c r="L86" s="1"/>
      <c r="M86" s="1"/>
      <c r="N86" s="1"/>
      <c r="O86" s="1"/>
      <c r="P86" s="1"/>
      <c r="Q86" s="7"/>
      <c r="R86" s="13" t="str">
        <f t="shared" si="25"/>
        <v/>
      </c>
      <c r="S86" s="13" t="str">
        <f t="shared" si="26"/>
        <v/>
      </c>
      <c r="T86" s="14" t="str">
        <f t="shared" si="27"/>
        <v/>
      </c>
      <c r="U86" s="14">
        <v>1000</v>
      </c>
      <c r="V86" s="14">
        <v>1000</v>
      </c>
      <c r="W86" s="8">
        <f t="shared" si="28"/>
        <v>7.6999999999999999E-2</v>
      </c>
      <c r="X86" s="13" t="str">
        <f t="shared" si="29"/>
        <v/>
      </c>
      <c r="Y86" s="13" t="str">
        <f t="shared" si="30"/>
        <v/>
      </c>
      <c r="Z86" s="15" t="str">
        <f t="shared" si="31"/>
        <v/>
      </c>
      <c r="AA86" s="15">
        <f t="shared" si="32"/>
        <v>900</v>
      </c>
      <c r="AB86" s="15" t="str">
        <f t="shared" si="33"/>
        <v/>
      </c>
      <c r="AC86" s="13" t="str">
        <f t="shared" si="34"/>
        <v/>
      </c>
      <c r="AD86" s="8" t="str">
        <f t="shared" si="35"/>
        <v/>
      </c>
      <c r="AE86" s="1"/>
      <c r="AF86" s="1"/>
      <c r="AG86" s="1"/>
    </row>
    <row r="87" spans="1:33" ht="15">
      <c r="A87" s="1">
        <f t="shared" si="24"/>
        <v>84</v>
      </c>
      <c r="B87" s="1"/>
      <c r="C87" s="1"/>
      <c r="D87" s="1"/>
      <c r="E87" s="1"/>
      <c r="F87" s="6"/>
      <c r="G87" s="5"/>
      <c r="H87" s="1"/>
      <c r="I87" s="1"/>
      <c r="J87" s="1"/>
      <c r="K87" s="1"/>
      <c r="L87" s="1"/>
      <c r="M87" s="1"/>
      <c r="N87" s="1"/>
      <c r="O87" s="1"/>
      <c r="P87" s="1"/>
      <c r="Q87" s="7"/>
      <c r="R87" s="13" t="str">
        <f t="shared" si="25"/>
        <v/>
      </c>
      <c r="S87" s="13" t="str">
        <f t="shared" si="26"/>
        <v/>
      </c>
      <c r="T87" s="14" t="str">
        <f t="shared" si="27"/>
        <v/>
      </c>
      <c r="U87" s="14">
        <v>1000</v>
      </c>
      <c r="V87" s="14">
        <v>1000</v>
      </c>
      <c r="W87" s="8">
        <f t="shared" si="28"/>
        <v>7.6999999999999999E-2</v>
      </c>
      <c r="X87" s="13" t="str">
        <f t="shared" si="29"/>
        <v/>
      </c>
      <c r="Y87" s="13" t="str">
        <f t="shared" si="30"/>
        <v/>
      </c>
      <c r="Z87" s="15" t="str">
        <f t="shared" si="31"/>
        <v/>
      </c>
      <c r="AA87" s="15">
        <f t="shared" si="32"/>
        <v>900</v>
      </c>
      <c r="AB87" s="15" t="str">
        <f t="shared" si="33"/>
        <v/>
      </c>
      <c r="AC87" s="13" t="str">
        <f t="shared" si="34"/>
        <v/>
      </c>
      <c r="AD87" s="8" t="str">
        <f t="shared" si="35"/>
        <v/>
      </c>
      <c r="AE87" s="1"/>
      <c r="AF87" s="1"/>
      <c r="AG87" s="1"/>
    </row>
    <row r="88" spans="1:33" ht="15">
      <c r="A88" s="1">
        <f t="shared" si="24"/>
        <v>85</v>
      </c>
      <c r="B88" s="1"/>
      <c r="C88" s="1"/>
      <c r="D88" s="1"/>
      <c r="E88" s="1"/>
      <c r="F88" s="6"/>
      <c r="G88" s="5"/>
      <c r="H88" s="1"/>
      <c r="I88" s="1"/>
      <c r="J88" s="1"/>
      <c r="K88" s="1"/>
      <c r="L88" s="1"/>
      <c r="M88" s="1"/>
      <c r="N88" s="1"/>
      <c r="O88" s="1"/>
      <c r="P88" s="1"/>
      <c r="Q88" s="7"/>
      <c r="R88" s="13" t="str">
        <f t="shared" si="25"/>
        <v/>
      </c>
      <c r="S88" s="13" t="str">
        <f t="shared" si="26"/>
        <v/>
      </c>
      <c r="T88" s="14" t="str">
        <f t="shared" si="27"/>
        <v/>
      </c>
      <c r="U88" s="14">
        <v>1000</v>
      </c>
      <c r="V88" s="14">
        <v>1000</v>
      </c>
      <c r="W88" s="8">
        <f t="shared" si="28"/>
        <v>7.6999999999999999E-2</v>
      </c>
      <c r="X88" s="13" t="str">
        <f t="shared" si="29"/>
        <v/>
      </c>
      <c r="Y88" s="13" t="str">
        <f t="shared" si="30"/>
        <v/>
      </c>
      <c r="Z88" s="15" t="str">
        <f t="shared" si="31"/>
        <v/>
      </c>
      <c r="AA88" s="15">
        <f t="shared" si="32"/>
        <v>900</v>
      </c>
      <c r="AB88" s="15" t="str">
        <f t="shared" si="33"/>
        <v/>
      </c>
      <c r="AC88" s="13" t="str">
        <f t="shared" si="34"/>
        <v/>
      </c>
      <c r="AD88" s="8" t="str">
        <f t="shared" si="35"/>
        <v/>
      </c>
      <c r="AE88" s="1"/>
      <c r="AF88" s="1"/>
      <c r="AG88" s="1"/>
    </row>
    <row r="89" spans="1:33" ht="15">
      <c r="A89" s="1">
        <f t="shared" si="24"/>
        <v>86</v>
      </c>
      <c r="B89" s="1"/>
      <c r="C89" s="1"/>
      <c r="D89" s="1"/>
      <c r="E89" s="1"/>
      <c r="F89" s="6"/>
      <c r="G89" s="5"/>
      <c r="H89" s="1"/>
      <c r="I89" s="1"/>
      <c r="J89" s="1"/>
      <c r="K89" s="1"/>
      <c r="L89" s="1"/>
      <c r="M89" s="1"/>
      <c r="N89" s="1"/>
      <c r="O89" s="1"/>
      <c r="P89" s="1"/>
      <c r="Q89" s="7"/>
      <c r="R89" s="13" t="str">
        <f t="shared" si="25"/>
        <v/>
      </c>
      <c r="S89" s="13" t="str">
        <f t="shared" si="26"/>
        <v/>
      </c>
      <c r="T89" s="14" t="str">
        <f t="shared" si="27"/>
        <v/>
      </c>
      <c r="U89" s="14">
        <v>1000</v>
      </c>
      <c r="V89" s="14">
        <v>1000</v>
      </c>
      <c r="W89" s="8">
        <f t="shared" si="28"/>
        <v>7.6999999999999999E-2</v>
      </c>
      <c r="X89" s="13" t="str">
        <f t="shared" si="29"/>
        <v/>
      </c>
      <c r="Y89" s="13" t="str">
        <f t="shared" si="30"/>
        <v/>
      </c>
      <c r="Z89" s="15" t="str">
        <f t="shared" si="31"/>
        <v/>
      </c>
      <c r="AA89" s="15">
        <f t="shared" si="32"/>
        <v>900</v>
      </c>
      <c r="AB89" s="15" t="str">
        <f t="shared" si="33"/>
        <v/>
      </c>
      <c r="AC89" s="13" t="str">
        <f t="shared" si="34"/>
        <v/>
      </c>
      <c r="AD89" s="8" t="str">
        <f t="shared" si="35"/>
        <v/>
      </c>
      <c r="AE89" s="1"/>
      <c r="AF89" s="1"/>
      <c r="AG89" s="1"/>
    </row>
    <row r="90" spans="1:33" ht="15">
      <c r="A90" s="1">
        <f t="shared" si="24"/>
        <v>87</v>
      </c>
      <c r="B90" s="1"/>
      <c r="C90" s="1"/>
      <c r="D90" s="1"/>
      <c r="E90" s="1"/>
      <c r="F90" s="6"/>
      <c r="G90" s="5"/>
      <c r="H90" s="1"/>
      <c r="I90" s="1"/>
      <c r="J90" s="1"/>
      <c r="K90" s="1"/>
      <c r="L90" s="1"/>
      <c r="M90" s="1"/>
      <c r="N90" s="1"/>
      <c r="O90" s="1"/>
      <c r="P90" s="1"/>
      <c r="Q90" s="7"/>
      <c r="R90" s="13" t="str">
        <f t="shared" si="25"/>
        <v/>
      </c>
      <c r="S90" s="13" t="str">
        <f t="shared" si="26"/>
        <v/>
      </c>
      <c r="T90" s="14" t="str">
        <f t="shared" si="27"/>
        <v/>
      </c>
      <c r="U90" s="14">
        <v>1000</v>
      </c>
      <c r="V90" s="14">
        <v>1000</v>
      </c>
      <c r="W90" s="8">
        <f t="shared" si="28"/>
        <v>7.6999999999999999E-2</v>
      </c>
      <c r="X90" s="13" t="str">
        <f t="shared" si="29"/>
        <v/>
      </c>
      <c r="Y90" s="13" t="str">
        <f t="shared" si="30"/>
        <v/>
      </c>
      <c r="Z90" s="15" t="str">
        <f t="shared" si="31"/>
        <v/>
      </c>
      <c r="AA90" s="15">
        <f t="shared" si="32"/>
        <v>900</v>
      </c>
      <c r="AB90" s="15" t="str">
        <f t="shared" si="33"/>
        <v/>
      </c>
      <c r="AC90" s="13" t="str">
        <f t="shared" si="34"/>
        <v/>
      </c>
      <c r="AD90" s="8" t="str">
        <f t="shared" si="35"/>
        <v/>
      </c>
      <c r="AE90" s="1"/>
      <c r="AF90" s="1"/>
      <c r="AG90" s="1"/>
    </row>
    <row r="91" spans="1:33" ht="15">
      <c r="A91" s="1">
        <f t="shared" si="24"/>
        <v>88</v>
      </c>
      <c r="B91" s="1"/>
      <c r="C91" s="1"/>
      <c r="D91" s="1"/>
      <c r="E91" s="1"/>
      <c r="F91" s="6"/>
      <c r="G91" s="5"/>
      <c r="H91" s="1"/>
      <c r="I91" s="1"/>
      <c r="J91" s="1"/>
      <c r="K91" s="1"/>
      <c r="L91" s="1"/>
      <c r="M91" s="1"/>
      <c r="N91" s="1"/>
      <c r="O91" s="1"/>
      <c r="P91" s="1"/>
      <c r="Q91" s="7"/>
      <c r="R91" s="13" t="str">
        <f t="shared" si="25"/>
        <v/>
      </c>
      <c r="S91" s="13" t="str">
        <f t="shared" si="26"/>
        <v/>
      </c>
      <c r="T91" s="14" t="str">
        <f t="shared" si="27"/>
        <v/>
      </c>
      <c r="U91" s="14">
        <v>1000</v>
      </c>
      <c r="V91" s="14">
        <v>1000</v>
      </c>
      <c r="W91" s="8">
        <f t="shared" si="28"/>
        <v>7.6999999999999999E-2</v>
      </c>
      <c r="X91" s="13" t="str">
        <f t="shared" si="29"/>
        <v/>
      </c>
      <c r="Y91" s="13" t="str">
        <f t="shared" si="30"/>
        <v/>
      </c>
      <c r="Z91" s="15" t="str">
        <f t="shared" si="31"/>
        <v/>
      </c>
      <c r="AA91" s="15">
        <f t="shared" si="32"/>
        <v>900</v>
      </c>
      <c r="AB91" s="15" t="str">
        <f t="shared" si="33"/>
        <v/>
      </c>
      <c r="AC91" s="13" t="str">
        <f t="shared" si="34"/>
        <v/>
      </c>
      <c r="AD91" s="8" t="str">
        <f t="shared" si="35"/>
        <v/>
      </c>
      <c r="AE91" s="1"/>
      <c r="AF91" s="1"/>
      <c r="AG91" s="1"/>
    </row>
    <row r="92" spans="1:33" ht="15">
      <c r="A92" s="1">
        <f t="shared" si="24"/>
        <v>89</v>
      </c>
      <c r="B92" s="1"/>
      <c r="C92" s="1"/>
      <c r="D92" s="1"/>
      <c r="E92" s="1"/>
      <c r="F92" s="6"/>
      <c r="G92" s="5"/>
      <c r="H92" s="1"/>
      <c r="I92" s="1"/>
      <c r="J92" s="1"/>
      <c r="K92" s="1"/>
      <c r="L92" s="1"/>
      <c r="M92" s="1"/>
      <c r="N92" s="1"/>
      <c r="O92" s="1"/>
      <c r="P92" s="1"/>
      <c r="Q92" s="7"/>
      <c r="R92" s="13" t="str">
        <f t="shared" si="25"/>
        <v/>
      </c>
      <c r="S92" s="13" t="str">
        <f t="shared" si="26"/>
        <v/>
      </c>
      <c r="T92" s="14" t="str">
        <f t="shared" si="27"/>
        <v/>
      </c>
      <c r="U92" s="14">
        <v>1000</v>
      </c>
      <c r="V92" s="14">
        <v>1000</v>
      </c>
      <c r="W92" s="8">
        <f t="shared" si="28"/>
        <v>7.6999999999999999E-2</v>
      </c>
      <c r="X92" s="13" t="str">
        <f t="shared" si="29"/>
        <v/>
      </c>
      <c r="Y92" s="13" t="str">
        <f t="shared" si="30"/>
        <v/>
      </c>
      <c r="Z92" s="15" t="str">
        <f t="shared" si="31"/>
        <v/>
      </c>
      <c r="AA92" s="15">
        <f t="shared" si="32"/>
        <v>900</v>
      </c>
      <c r="AB92" s="15" t="str">
        <f t="shared" si="33"/>
        <v/>
      </c>
      <c r="AC92" s="13" t="str">
        <f t="shared" si="34"/>
        <v/>
      </c>
      <c r="AD92" s="8" t="str">
        <f t="shared" si="35"/>
        <v/>
      </c>
      <c r="AE92" s="1"/>
      <c r="AF92" s="1"/>
      <c r="AG92" s="1"/>
    </row>
    <row r="93" spans="1:33" ht="15">
      <c r="A93" s="1">
        <f t="shared" si="24"/>
        <v>90</v>
      </c>
      <c r="B93" s="1"/>
      <c r="C93" s="1"/>
      <c r="D93" s="1"/>
      <c r="E93" s="1"/>
      <c r="F93" s="6"/>
      <c r="G93" s="5"/>
      <c r="H93" s="1"/>
      <c r="I93" s="1"/>
      <c r="J93" s="1"/>
      <c r="K93" s="1"/>
      <c r="L93" s="1"/>
      <c r="M93" s="1"/>
      <c r="N93" s="1"/>
      <c r="O93" s="1"/>
      <c r="P93" s="1"/>
      <c r="Q93" s="7"/>
      <c r="R93" s="13" t="str">
        <f t="shared" si="25"/>
        <v/>
      </c>
      <c r="S93" s="13" t="str">
        <f t="shared" si="26"/>
        <v/>
      </c>
      <c r="T93" s="14" t="str">
        <f t="shared" si="27"/>
        <v/>
      </c>
      <c r="U93" s="14">
        <v>1000</v>
      </c>
      <c r="V93" s="14">
        <v>1000</v>
      </c>
      <c r="W93" s="8">
        <f t="shared" si="28"/>
        <v>7.6999999999999999E-2</v>
      </c>
      <c r="X93" s="13" t="str">
        <f t="shared" si="29"/>
        <v/>
      </c>
      <c r="Y93" s="13" t="str">
        <f t="shared" si="30"/>
        <v/>
      </c>
      <c r="Z93" s="15" t="str">
        <f t="shared" si="31"/>
        <v/>
      </c>
      <c r="AA93" s="15">
        <f t="shared" si="32"/>
        <v>900</v>
      </c>
      <c r="AB93" s="15" t="str">
        <f t="shared" si="33"/>
        <v/>
      </c>
      <c r="AC93" s="13" t="str">
        <f t="shared" si="34"/>
        <v/>
      </c>
      <c r="AD93" s="8" t="str">
        <f t="shared" si="35"/>
        <v/>
      </c>
      <c r="AE93" s="1"/>
      <c r="AF93" s="1"/>
      <c r="AG93" s="1"/>
    </row>
    <row r="94" spans="1:33" ht="15">
      <c r="A94" s="1">
        <f t="shared" si="24"/>
        <v>91</v>
      </c>
      <c r="B94" s="1"/>
      <c r="C94" s="1"/>
      <c r="D94" s="1"/>
      <c r="E94" s="1"/>
      <c r="F94" s="6"/>
      <c r="G94" s="5"/>
      <c r="H94" s="1"/>
      <c r="I94" s="1"/>
      <c r="J94" s="1"/>
      <c r="K94" s="1"/>
      <c r="L94" s="1"/>
      <c r="M94" s="1"/>
      <c r="N94" s="1"/>
      <c r="O94" s="1"/>
      <c r="P94" s="1"/>
      <c r="Q94" s="7"/>
      <c r="R94" s="13" t="str">
        <f t="shared" si="25"/>
        <v/>
      </c>
      <c r="S94" s="13" t="str">
        <f t="shared" si="26"/>
        <v/>
      </c>
      <c r="T94" s="14" t="str">
        <f t="shared" si="27"/>
        <v/>
      </c>
      <c r="U94" s="14">
        <v>1000</v>
      </c>
      <c r="V94" s="14">
        <v>1000</v>
      </c>
      <c r="W94" s="8">
        <f t="shared" si="28"/>
        <v>7.6999999999999999E-2</v>
      </c>
      <c r="X94" s="13" t="str">
        <f t="shared" si="29"/>
        <v/>
      </c>
      <c r="Y94" s="13" t="str">
        <f t="shared" si="30"/>
        <v/>
      </c>
      <c r="Z94" s="15" t="str">
        <f t="shared" si="31"/>
        <v/>
      </c>
      <c r="AA94" s="15">
        <f t="shared" si="32"/>
        <v>900</v>
      </c>
      <c r="AB94" s="15" t="str">
        <f t="shared" si="33"/>
        <v/>
      </c>
      <c r="AC94" s="13" t="str">
        <f t="shared" si="34"/>
        <v/>
      </c>
      <c r="AD94" s="8" t="str">
        <f t="shared" si="35"/>
        <v/>
      </c>
      <c r="AE94" s="1"/>
      <c r="AF94" s="1"/>
      <c r="AG94" s="1"/>
    </row>
    <row r="95" spans="1:33" ht="15">
      <c r="A95" s="1">
        <f t="shared" si="24"/>
        <v>92</v>
      </c>
      <c r="B95" s="1"/>
      <c r="C95" s="1"/>
      <c r="D95" s="1"/>
      <c r="E95" s="1"/>
      <c r="F95" s="6"/>
      <c r="G95" s="5"/>
      <c r="H95" s="1"/>
      <c r="I95" s="1"/>
      <c r="J95" s="1"/>
      <c r="K95" s="1"/>
      <c r="L95" s="1"/>
      <c r="M95" s="1"/>
      <c r="N95" s="1"/>
      <c r="O95" s="1"/>
      <c r="P95" s="1"/>
      <c r="Q95" s="7"/>
      <c r="R95" s="13" t="str">
        <f t="shared" si="25"/>
        <v/>
      </c>
      <c r="S95" s="13" t="str">
        <f t="shared" si="26"/>
        <v/>
      </c>
      <c r="T95" s="14" t="str">
        <f t="shared" si="27"/>
        <v/>
      </c>
      <c r="U95" s="14">
        <v>1000</v>
      </c>
      <c r="V95" s="14">
        <v>1000</v>
      </c>
      <c r="W95" s="8">
        <f t="shared" si="28"/>
        <v>7.6999999999999999E-2</v>
      </c>
      <c r="X95" s="13" t="str">
        <f t="shared" si="29"/>
        <v/>
      </c>
      <c r="Y95" s="13" t="str">
        <f t="shared" si="30"/>
        <v/>
      </c>
      <c r="Z95" s="15" t="str">
        <f t="shared" si="31"/>
        <v/>
      </c>
      <c r="AA95" s="15">
        <f t="shared" si="32"/>
        <v>900</v>
      </c>
      <c r="AB95" s="15" t="str">
        <f t="shared" si="33"/>
        <v/>
      </c>
      <c r="AC95" s="13" t="str">
        <f t="shared" si="34"/>
        <v/>
      </c>
      <c r="AD95" s="8" t="str">
        <f t="shared" si="35"/>
        <v/>
      </c>
      <c r="AE95" s="1"/>
      <c r="AF95" s="1"/>
      <c r="AG95" s="1"/>
    </row>
    <row r="96" spans="1:33" ht="15">
      <c r="A96" s="1">
        <f t="shared" si="24"/>
        <v>93</v>
      </c>
      <c r="B96" s="1"/>
      <c r="C96" s="1"/>
      <c r="D96" s="1"/>
      <c r="E96" s="1"/>
      <c r="F96" s="6"/>
      <c r="G96" s="5"/>
      <c r="H96" s="1"/>
      <c r="I96" s="1"/>
      <c r="J96" s="1"/>
      <c r="K96" s="1"/>
      <c r="L96" s="1"/>
      <c r="M96" s="1"/>
      <c r="N96" s="1"/>
      <c r="O96" s="1"/>
      <c r="P96" s="1"/>
      <c r="Q96" s="7"/>
      <c r="R96" s="13" t="str">
        <f t="shared" si="25"/>
        <v/>
      </c>
      <c r="S96" s="13" t="str">
        <f t="shared" si="26"/>
        <v/>
      </c>
      <c r="T96" s="14" t="str">
        <f t="shared" si="27"/>
        <v/>
      </c>
      <c r="U96" s="14">
        <v>1000</v>
      </c>
      <c r="V96" s="14">
        <v>1000</v>
      </c>
      <c r="W96" s="8">
        <f t="shared" si="28"/>
        <v>7.6999999999999999E-2</v>
      </c>
      <c r="X96" s="13" t="str">
        <f t="shared" si="29"/>
        <v/>
      </c>
      <c r="Y96" s="13" t="str">
        <f t="shared" si="30"/>
        <v/>
      </c>
      <c r="Z96" s="15" t="str">
        <f t="shared" si="31"/>
        <v/>
      </c>
      <c r="AA96" s="15">
        <f t="shared" si="32"/>
        <v>900</v>
      </c>
      <c r="AB96" s="15" t="str">
        <f t="shared" si="33"/>
        <v/>
      </c>
      <c r="AC96" s="13" t="str">
        <f t="shared" si="34"/>
        <v/>
      </c>
      <c r="AD96" s="8" t="str">
        <f t="shared" si="35"/>
        <v/>
      </c>
      <c r="AE96" s="1"/>
      <c r="AF96" s="1"/>
      <c r="AG96" s="1"/>
    </row>
    <row r="97" spans="1:33" ht="15">
      <c r="A97" s="1">
        <f t="shared" si="24"/>
        <v>94</v>
      </c>
      <c r="B97" s="1"/>
      <c r="C97" s="1"/>
      <c r="D97" s="1"/>
      <c r="E97" s="1"/>
      <c r="F97" s="6"/>
      <c r="G97" s="5"/>
      <c r="H97" s="1"/>
      <c r="I97" s="1"/>
      <c r="J97" s="1"/>
      <c r="K97" s="1"/>
      <c r="L97" s="1"/>
      <c r="M97" s="1"/>
      <c r="N97" s="1"/>
      <c r="O97" s="1"/>
      <c r="P97" s="1"/>
      <c r="Q97" s="7"/>
      <c r="R97" s="13" t="str">
        <f t="shared" si="25"/>
        <v/>
      </c>
      <c r="S97" s="13" t="str">
        <f t="shared" si="26"/>
        <v/>
      </c>
      <c r="T97" s="14" t="str">
        <f t="shared" si="27"/>
        <v/>
      </c>
      <c r="U97" s="14">
        <v>1000</v>
      </c>
      <c r="V97" s="14">
        <v>1000</v>
      </c>
      <c r="W97" s="8">
        <f t="shared" si="28"/>
        <v>7.6999999999999999E-2</v>
      </c>
      <c r="X97" s="13" t="str">
        <f t="shared" si="29"/>
        <v/>
      </c>
      <c r="Y97" s="13" t="str">
        <f t="shared" si="30"/>
        <v/>
      </c>
      <c r="Z97" s="15" t="str">
        <f t="shared" si="31"/>
        <v/>
      </c>
      <c r="AA97" s="15">
        <f t="shared" si="32"/>
        <v>900</v>
      </c>
      <c r="AB97" s="15" t="str">
        <f t="shared" si="33"/>
        <v/>
      </c>
      <c r="AC97" s="13" t="str">
        <f t="shared" si="34"/>
        <v/>
      </c>
      <c r="AD97" s="8" t="str">
        <f t="shared" si="35"/>
        <v/>
      </c>
      <c r="AE97" s="1"/>
      <c r="AF97" s="1"/>
      <c r="AG97" s="1"/>
    </row>
    <row r="98" spans="1:33" ht="15">
      <c r="A98" s="1">
        <f t="shared" si="24"/>
        <v>95</v>
      </c>
      <c r="B98" s="1"/>
      <c r="C98" s="1"/>
      <c r="D98" s="1"/>
      <c r="E98" s="1"/>
      <c r="F98" s="6"/>
      <c r="G98" s="5"/>
      <c r="H98" s="1"/>
      <c r="I98" s="1"/>
      <c r="J98" s="1"/>
      <c r="K98" s="1"/>
      <c r="L98" s="1"/>
      <c r="M98" s="1"/>
      <c r="N98" s="1"/>
      <c r="O98" s="1"/>
      <c r="P98" s="1"/>
      <c r="Q98" s="7"/>
      <c r="R98" s="13" t="str">
        <f t="shared" si="25"/>
        <v/>
      </c>
      <c r="S98" s="13" t="str">
        <f t="shared" si="26"/>
        <v/>
      </c>
      <c r="T98" s="14" t="str">
        <f t="shared" si="27"/>
        <v/>
      </c>
      <c r="U98" s="14">
        <v>1000</v>
      </c>
      <c r="V98" s="14">
        <v>1000</v>
      </c>
      <c r="W98" s="8">
        <f t="shared" si="28"/>
        <v>7.6999999999999999E-2</v>
      </c>
      <c r="X98" s="13" t="str">
        <f t="shared" si="29"/>
        <v/>
      </c>
      <c r="Y98" s="13" t="str">
        <f t="shared" si="30"/>
        <v/>
      </c>
      <c r="Z98" s="15" t="str">
        <f t="shared" si="31"/>
        <v/>
      </c>
      <c r="AA98" s="15">
        <f t="shared" si="32"/>
        <v>900</v>
      </c>
      <c r="AB98" s="15" t="str">
        <f t="shared" si="33"/>
        <v/>
      </c>
      <c r="AC98" s="13" t="str">
        <f t="shared" si="34"/>
        <v/>
      </c>
      <c r="AD98" s="8" t="str">
        <f t="shared" si="35"/>
        <v/>
      </c>
      <c r="AE98" s="1"/>
      <c r="AF98" s="1"/>
      <c r="AG98" s="1"/>
    </row>
    <row r="99" spans="1:33" ht="15">
      <c r="A99" s="1">
        <f t="shared" si="24"/>
        <v>96</v>
      </c>
      <c r="B99" s="1"/>
      <c r="C99" s="1"/>
      <c r="D99" s="1"/>
      <c r="E99" s="1"/>
      <c r="F99" s="6"/>
      <c r="G99" s="5"/>
      <c r="H99" s="1"/>
      <c r="I99" s="1"/>
      <c r="J99" s="1"/>
      <c r="K99" s="1"/>
      <c r="L99" s="1"/>
      <c r="M99" s="1"/>
      <c r="N99" s="1"/>
      <c r="O99" s="1"/>
      <c r="P99" s="1"/>
      <c r="Q99" s="7"/>
      <c r="R99" s="13" t="str">
        <f t="shared" si="25"/>
        <v/>
      </c>
      <c r="S99" s="13" t="str">
        <f t="shared" si="26"/>
        <v/>
      </c>
      <c r="T99" s="14" t="str">
        <f t="shared" si="27"/>
        <v/>
      </c>
      <c r="U99" s="14">
        <v>1000</v>
      </c>
      <c r="V99" s="14">
        <v>1000</v>
      </c>
      <c r="W99" s="8">
        <f t="shared" si="28"/>
        <v>7.6999999999999999E-2</v>
      </c>
      <c r="X99" s="13" t="str">
        <f t="shared" si="29"/>
        <v/>
      </c>
      <c r="Y99" s="13" t="str">
        <f t="shared" si="30"/>
        <v/>
      </c>
      <c r="Z99" s="15" t="str">
        <f t="shared" si="31"/>
        <v/>
      </c>
      <c r="AA99" s="15">
        <f t="shared" si="32"/>
        <v>900</v>
      </c>
      <c r="AB99" s="15" t="str">
        <f t="shared" si="33"/>
        <v/>
      </c>
      <c r="AC99" s="13" t="str">
        <f t="shared" si="34"/>
        <v/>
      </c>
      <c r="AD99" s="8" t="str">
        <f t="shared" si="35"/>
        <v/>
      </c>
      <c r="AE99" s="1"/>
      <c r="AF99" s="1"/>
      <c r="AG99" s="1"/>
    </row>
    <row r="100" spans="1:33" ht="15">
      <c r="A100" s="1">
        <f t="shared" ref="A100:A131" si="36">ROW()-3</f>
        <v>97</v>
      </c>
      <c r="B100" s="1"/>
      <c r="C100" s="1"/>
      <c r="D100" s="1"/>
      <c r="E100" s="1"/>
      <c r="F100" s="6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7"/>
      <c r="R100" s="13" t="str">
        <f t="shared" ref="R100:R131" si="37">IF(OR(F100="",Q100=""),"",IF(OR(G100="USD",G100="EUR",G100="GBP"),F100*Q100,F100))</f>
        <v/>
      </c>
      <c r="S100" s="13" t="str">
        <f t="shared" ref="S100:S131" si="38">IF(Q100="","",IF(OR(J100="イギリス",J100="アメリカ",J100="イタリア",J100="フランス",J100="ドイツ",J100="スペイン",J100="オランダ",J100="ベルギー",J100="ポルトガル",J100="オーストリア",ISNUMBER(SEARCH("MyUS",K100))),ROUND(R100*0.08,0),0))</f>
        <v/>
      </c>
      <c r="T100" s="14" t="str">
        <f t="shared" ref="T100:T131" si="39">IF(Q100="","",IF(OR(ISNUMBER(SEARCH("コート",C100)),ISNUMBER(SEARCH("Coat",C100)),ISNUMBER(SEARCH("coat",C100))),15000,IF(OR(ISNUMBER(SEARCH("靴",C100)),ISNUMBER(SEARCH("スニーカー",C100)),ISNUMBER(SEARCH("Sneaker",C100)),ISNUMBER(SEARCH("sneaker",C100)),ISNUMBER(SEARCH("Shoes",C100)),ISNUMBER(SEARCH("shoes",C100)),ISNUMBER(SEARCH("Boot",C100)),ISNUMBER(SEARCH("boot",C100)),ISNUMBER(SEARCH("バッグ",C100)),ISNUMBER(SEARCH("Bag",C100)),ISNUMBER(SEARCH("bag",C100)),ISNUMBER(SEARCH("Tote",C100)),ISNUMBER(SEARCH("tote",C100)),ISNUMBER(SEARCH("Shoulder",C100)),ISNUMBER(SEARCH("shoulder",C100))),12000,7200)))</f>
        <v/>
      </c>
      <c r="U100" s="14">
        <v>1000</v>
      </c>
      <c r="V100" s="14">
        <v>1000</v>
      </c>
      <c r="W100" s="8">
        <f t="shared" ref="W100:W131" si="40">IF(A100="","",0.077)</f>
        <v>7.6999999999999999E-2</v>
      </c>
      <c r="X100" s="13" t="str">
        <f t="shared" ref="X100:X131" si="41">IF($Q100="","",ROUND(Y100*10%,0))</f>
        <v/>
      </c>
      <c r="Y100" s="13" t="str">
        <f t="shared" ref="Y100:Y131" si="42">IF(R100="","",R100+S100+T100+U100+V100)</f>
        <v/>
      </c>
      <c r="Z100" s="15" t="str">
        <f t="shared" ref="Z100:Z131" si="43">IF($Q100="","",IF(1-W100&lt;=0,"",ROUNDUP((Y100+X100)/(1-W100),0))-72)</f>
        <v/>
      </c>
      <c r="AA100" s="15">
        <f t="shared" ref="AA100:AA131" si="44">IF(A100="","",900)</f>
        <v>900</v>
      </c>
      <c r="AB100" s="15" t="str">
        <f t="shared" ref="AB100:AB131" si="45">IF(Z100="","",Z100+AA100)</f>
        <v/>
      </c>
      <c r="AC100" s="13" t="str">
        <f t="shared" ref="AC100:AC131" si="46">IF(Z100="","",Z100*(1-W100)-Y100)</f>
        <v/>
      </c>
      <c r="AD100" s="8" t="str">
        <f t="shared" ref="AD100:AD131" si="47">IF(AB100="","",AC100/AB100)</f>
        <v/>
      </c>
      <c r="AE100" s="1"/>
      <c r="AF100" s="1"/>
      <c r="AG100" s="1"/>
    </row>
    <row r="101" spans="1:33" ht="15">
      <c r="A101" s="1">
        <f t="shared" si="36"/>
        <v>98</v>
      </c>
      <c r="B101" s="1"/>
      <c r="C101" s="1"/>
      <c r="D101" s="1"/>
      <c r="E101" s="1"/>
      <c r="F101" s="6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7"/>
      <c r="R101" s="13" t="str">
        <f t="shared" si="37"/>
        <v/>
      </c>
      <c r="S101" s="13" t="str">
        <f t="shared" si="38"/>
        <v/>
      </c>
      <c r="T101" s="14" t="str">
        <f t="shared" si="39"/>
        <v/>
      </c>
      <c r="U101" s="14">
        <v>1000</v>
      </c>
      <c r="V101" s="14">
        <v>1000</v>
      </c>
      <c r="W101" s="8">
        <f t="shared" si="40"/>
        <v>7.6999999999999999E-2</v>
      </c>
      <c r="X101" s="13" t="str">
        <f t="shared" si="41"/>
        <v/>
      </c>
      <c r="Y101" s="13" t="str">
        <f t="shared" si="42"/>
        <v/>
      </c>
      <c r="Z101" s="15" t="str">
        <f t="shared" si="43"/>
        <v/>
      </c>
      <c r="AA101" s="15">
        <f t="shared" si="44"/>
        <v>900</v>
      </c>
      <c r="AB101" s="15" t="str">
        <f t="shared" si="45"/>
        <v/>
      </c>
      <c r="AC101" s="13" t="str">
        <f t="shared" si="46"/>
        <v/>
      </c>
      <c r="AD101" s="8" t="str">
        <f t="shared" si="47"/>
        <v/>
      </c>
      <c r="AE101" s="1"/>
      <c r="AF101" s="1"/>
      <c r="AG101" s="1"/>
    </row>
    <row r="102" spans="1:33" ht="15">
      <c r="A102" s="1">
        <f t="shared" si="36"/>
        <v>99</v>
      </c>
      <c r="B102" s="1"/>
      <c r="C102" s="1"/>
      <c r="D102" s="1"/>
      <c r="E102" s="1"/>
      <c r="F102" s="6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7"/>
      <c r="R102" s="13" t="str">
        <f t="shared" si="37"/>
        <v/>
      </c>
      <c r="S102" s="13" t="str">
        <f t="shared" si="38"/>
        <v/>
      </c>
      <c r="T102" s="14" t="str">
        <f t="shared" si="39"/>
        <v/>
      </c>
      <c r="U102" s="14">
        <v>1000</v>
      </c>
      <c r="V102" s="14">
        <v>1000</v>
      </c>
      <c r="W102" s="8">
        <f t="shared" si="40"/>
        <v>7.6999999999999999E-2</v>
      </c>
      <c r="X102" s="13" t="str">
        <f t="shared" si="41"/>
        <v/>
      </c>
      <c r="Y102" s="13" t="str">
        <f t="shared" si="42"/>
        <v/>
      </c>
      <c r="Z102" s="15" t="str">
        <f t="shared" si="43"/>
        <v/>
      </c>
      <c r="AA102" s="15">
        <f t="shared" si="44"/>
        <v>900</v>
      </c>
      <c r="AB102" s="15" t="str">
        <f t="shared" si="45"/>
        <v/>
      </c>
      <c r="AC102" s="13" t="str">
        <f t="shared" si="46"/>
        <v/>
      </c>
      <c r="AD102" s="8" t="str">
        <f t="shared" si="47"/>
        <v/>
      </c>
      <c r="AE102" s="1"/>
      <c r="AF102" s="1"/>
      <c r="AG102" s="1"/>
    </row>
    <row r="103" spans="1:33" ht="15">
      <c r="A103" s="1">
        <f t="shared" si="36"/>
        <v>100</v>
      </c>
      <c r="B103" s="1"/>
      <c r="C103" s="1"/>
      <c r="D103" s="1"/>
      <c r="E103" s="1"/>
      <c r="F103" s="6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7"/>
      <c r="R103" s="13" t="str">
        <f t="shared" si="37"/>
        <v/>
      </c>
      <c r="S103" s="13" t="str">
        <f t="shared" si="38"/>
        <v/>
      </c>
      <c r="T103" s="14" t="str">
        <f t="shared" si="39"/>
        <v/>
      </c>
      <c r="U103" s="14">
        <v>1000</v>
      </c>
      <c r="V103" s="14">
        <v>1000</v>
      </c>
      <c r="W103" s="8">
        <f t="shared" si="40"/>
        <v>7.6999999999999999E-2</v>
      </c>
      <c r="X103" s="13" t="str">
        <f t="shared" si="41"/>
        <v/>
      </c>
      <c r="Y103" s="13" t="str">
        <f t="shared" si="42"/>
        <v/>
      </c>
      <c r="Z103" s="15" t="str">
        <f t="shared" si="43"/>
        <v/>
      </c>
      <c r="AA103" s="15">
        <f t="shared" si="44"/>
        <v>900</v>
      </c>
      <c r="AB103" s="15" t="str">
        <f t="shared" si="45"/>
        <v/>
      </c>
      <c r="AC103" s="13" t="str">
        <f t="shared" si="46"/>
        <v/>
      </c>
      <c r="AD103" s="8" t="str">
        <f t="shared" si="47"/>
        <v/>
      </c>
      <c r="AE103" s="1"/>
      <c r="AF103" s="1"/>
      <c r="AG103" s="1"/>
    </row>
    <row r="104" spans="1:33" ht="15">
      <c r="A104" s="1">
        <f t="shared" si="36"/>
        <v>101</v>
      </c>
      <c r="B104" s="1"/>
      <c r="C104" s="1"/>
      <c r="D104" s="1"/>
      <c r="E104" s="1"/>
      <c r="F104" s="6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7"/>
      <c r="R104" s="13" t="str">
        <f t="shared" si="37"/>
        <v/>
      </c>
      <c r="S104" s="13" t="str">
        <f t="shared" si="38"/>
        <v/>
      </c>
      <c r="T104" s="14" t="str">
        <f t="shared" si="39"/>
        <v/>
      </c>
      <c r="U104" s="14">
        <v>1000</v>
      </c>
      <c r="V104" s="14">
        <v>1000</v>
      </c>
      <c r="W104" s="8">
        <f t="shared" si="40"/>
        <v>7.6999999999999999E-2</v>
      </c>
      <c r="X104" s="13" t="str">
        <f t="shared" si="41"/>
        <v/>
      </c>
      <c r="Y104" s="13" t="str">
        <f t="shared" si="42"/>
        <v/>
      </c>
      <c r="Z104" s="15" t="str">
        <f t="shared" si="43"/>
        <v/>
      </c>
      <c r="AA104" s="15">
        <f t="shared" si="44"/>
        <v>900</v>
      </c>
      <c r="AB104" s="15" t="str">
        <f t="shared" si="45"/>
        <v/>
      </c>
      <c r="AC104" s="13" t="str">
        <f t="shared" si="46"/>
        <v/>
      </c>
      <c r="AD104" s="8" t="str">
        <f t="shared" si="47"/>
        <v/>
      </c>
      <c r="AE104" s="1"/>
      <c r="AF104" s="1"/>
      <c r="AG104" s="1"/>
    </row>
    <row r="105" spans="1:33" ht="15">
      <c r="A105" s="1">
        <f t="shared" si="36"/>
        <v>102</v>
      </c>
      <c r="B105" s="1"/>
      <c r="C105" s="1"/>
      <c r="D105" s="1"/>
      <c r="E105" s="1"/>
      <c r="F105" s="6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7"/>
      <c r="R105" s="13" t="str">
        <f t="shared" si="37"/>
        <v/>
      </c>
      <c r="S105" s="13" t="str">
        <f t="shared" si="38"/>
        <v/>
      </c>
      <c r="T105" s="14" t="str">
        <f t="shared" si="39"/>
        <v/>
      </c>
      <c r="U105" s="14">
        <v>1000</v>
      </c>
      <c r="V105" s="14">
        <v>1000</v>
      </c>
      <c r="W105" s="8">
        <f t="shared" si="40"/>
        <v>7.6999999999999999E-2</v>
      </c>
      <c r="X105" s="13" t="str">
        <f t="shared" si="41"/>
        <v/>
      </c>
      <c r="Y105" s="13" t="str">
        <f t="shared" si="42"/>
        <v/>
      </c>
      <c r="Z105" s="15" t="str">
        <f t="shared" si="43"/>
        <v/>
      </c>
      <c r="AA105" s="15">
        <f t="shared" si="44"/>
        <v>900</v>
      </c>
      <c r="AB105" s="15" t="str">
        <f t="shared" si="45"/>
        <v/>
      </c>
      <c r="AC105" s="13" t="str">
        <f t="shared" si="46"/>
        <v/>
      </c>
      <c r="AD105" s="8" t="str">
        <f t="shared" si="47"/>
        <v/>
      </c>
      <c r="AE105" s="1"/>
      <c r="AF105" s="1"/>
      <c r="AG105" s="1"/>
    </row>
    <row r="106" spans="1:33" ht="15">
      <c r="A106" s="1">
        <f t="shared" si="36"/>
        <v>103</v>
      </c>
      <c r="B106" s="1"/>
      <c r="C106" s="1"/>
      <c r="D106" s="1"/>
      <c r="E106" s="1"/>
      <c r="F106" s="6"/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7"/>
      <c r="R106" s="13" t="str">
        <f t="shared" si="37"/>
        <v/>
      </c>
      <c r="S106" s="13" t="str">
        <f t="shared" si="38"/>
        <v/>
      </c>
      <c r="T106" s="14" t="str">
        <f t="shared" si="39"/>
        <v/>
      </c>
      <c r="U106" s="14">
        <v>1000</v>
      </c>
      <c r="V106" s="14">
        <v>1000</v>
      </c>
      <c r="W106" s="8">
        <f t="shared" si="40"/>
        <v>7.6999999999999999E-2</v>
      </c>
      <c r="X106" s="13" t="str">
        <f t="shared" si="41"/>
        <v/>
      </c>
      <c r="Y106" s="13" t="str">
        <f t="shared" si="42"/>
        <v/>
      </c>
      <c r="Z106" s="15" t="str">
        <f t="shared" si="43"/>
        <v/>
      </c>
      <c r="AA106" s="15">
        <f t="shared" si="44"/>
        <v>900</v>
      </c>
      <c r="AB106" s="15" t="str">
        <f t="shared" si="45"/>
        <v/>
      </c>
      <c r="AC106" s="13" t="str">
        <f t="shared" si="46"/>
        <v/>
      </c>
      <c r="AD106" s="8" t="str">
        <f t="shared" si="47"/>
        <v/>
      </c>
      <c r="AE106" s="1"/>
      <c r="AF106" s="1"/>
      <c r="AG106" s="1"/>
    </row>
    <row r="107" spans="1:33" ht="15">
      <c r="A107" s="1">
        <f t="shared" si="36"/>
        <v>104</v>
      </c>
      <c r="B107" s="1"/>
      <c r="C107" s="1"/>
      <c r="D107" s="1"/>
      <c r="E107" s="1"/>
      <c r="F107" s="6"/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7"/>
      <c r="R107" s="13" t="str">
        <f t="shared" si="37"/>
        <v/>
      </c>
      <c r="S107" s="13" t="str">
        <f t="shared" si="38"/>
        <v/>
      </c>
      <c r="T107" s="14" t="str">
        <f t="shared" si="39"/>
        <v/>
      </c>
      <c r="U107" s="14">
        <v>1000</v>
      </c>
      <c r="V107" s="14">
        <v>1000</v>
      </c>
      <c r="W107" s="8">
        <f t="shared" si="40"/>
        <v>7.6999999999999999E-2</v>
      </c>
      <c r="X107" s="13" t="str">
        <f t="shared" si="41"/>
        <v/>
      </c>
      <c r="Y107" s="13" t="str">
        <f t="shared" si="42"/>
        <v/>
      </c>
      <c r="Z107" s="15" t="str">
        <f t="shared" si="43"/>
        <v/>
      </c>
      <c r="AA107" s="15">
        <f t="shared" si="44"/>
        <v>900</v>
      </c>
      <c r="AB107" s="15" t="str">
        <f t="shared" si="45"/>
        <v/>
      </c>
      <c r="AC107" s="13" t="str">
        <f t="shared" si="46"/>
        <v/>
      </c>
      <c r="AD107" s="8" t="str">
        <f t="shared" si="47"/>
        <v/>
      </c>
      <c r="AE107" s="1"/>
      <c r="AF107" s="1"/>
      <c r="AG107" s="1"/>
    </row>
    <row r="108" spans="1:33" ht="15">
      <c r="A108" s="1">
        <f t="shared" si="36"/>
        <v>105</v>
      </c>
      <c r="B108" s="1"/>
      <c r="C108" s="1"/>
      <c r="D108" s="1"/>
      <c r="E108" s="1"/>
      <c r="F108" s="6"/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7"/>
      <c r="R108" s="13" t="str">
        <f t="shared" si="37"/>
        <v/>
      </c>
      <c r="S108" s="13" t="str">
        <f t="shared" si="38"/>
        <v/>
      </c>
      <c r="T108" s="14" t="str">
        <f t="shared" si="39"/>
        <v/>
      </c>
      <c r="U108" s="14">
        <v>1000</v>
      </c>
      <c r="V108" s="14">
        <v>1000</v>
      </c>
      <c r="W108" s="8">
        <f t="shared" si="40"/>
        <v>7.6999999999999999E-2</v>
      </c>
      <c r="X108" s="13" t="str">
        <f t="shared" si="41"/>
        <v/>
      </c>
      <c r="Y108" s="13" t="str">
        <f t="shared" si="42"/>
        <v/>
      </c>
      <c r="Z108" s="15" t="str">
        <f t="shared" si="43"/>
        <v/>
      </c>
      <c r="AA108" s="15">
        <f t="shared" si="44"/>
        <v>900</v>
      </c>
      <c r="AB108" s="15" t="str">
        <f t="shared" si="45"/>
        <v/>
      </c>
      <c r="AC108" s="13" t="str">
        <f t="shared" si="46"/>
        <v/>
      </c>
      <c r="AD108" s="8" t="str">
        <f t="shared" si="47"/>
        <v/>
      </c>
      <c r="AE108" s="1"/>
      <c r="AF108" s="1"/>
      <c r="AG108" s="1"/>
    </row>
    <row r="109" spans="1:33" ht="15">
      <c r="A109" s="1">
        <f t="shared" si="36"/>
        <v>106</v>
      </c>
      <c r="B109" s="1"/>
      <c r="C109" s="1"/>
      <c r="D109" s="1"/>
      <c r="E109" s="1"/>
      <c r="F109" s="6"/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7"/>
      <c r="R109" s="13" t="str">
        <f t="shared" si="37"/>
        <v/>
      </c>
      <c r="S109" s="13" t="str">
        <f t="shared" si="38"/>
        <v/>
      </c>
      <c r="T109" s="14" t="str">
        <f t="shared" si="39"/>
        <v/>
      </c>
      <c r="U109" s="14">
        <v>1000</v>
      </c>
      <c r="V109" s="14">
        <v>1000</v>
      </c>
      <c r="W109" s="8">
        <f t="shared" si="40"/>
        <v>7.6999999999999999E-2</v>
      </c>
      <c r="X109" s="13" t="str">
        <f t="shared" si="41"/>
        <v/>
      </c>
      <c r="Y109" s="13" t="str">
        <f t="shared" si="42"/>
        <v/>
      </c>
      <c r="Z109" s="15" t="str">
        <f t="shared" si="43"/>
        <v/>
      </c>
      <c r="AA109" s="15">
        <f t="shared" si="44"/>
        <v>900</v>
      </c>
      <c r="AB109" s="15" t="str">
        <f t="shared" si="45"/>
        <v/>
      </c>
      <c r="AC109" s="13" t="str">
        <f t="shared" si="46"/>
        <v/>
      </c>
      <c r="AD109" s="8" t="str">
        <f t="shared" si="47"/>
        <v/>
      </c>
      <c r="AE109" s="1"/>
      <c r="AF109" s="1"/>
      <c r="AG109" s="1"/>
    </row>
    <row r="110" spans="1:33" ht="15">
      <c r="A110" s="1">
        <f t="shared" si="36"/>
        <v>107</v>
      </c>
      <c r="B110" s="1"/>
      <c r="C110" s="1"/>
      <c r="D110" s="1"/>
      <c r="E110" s="1"/>
      <c r="F110" s="6"/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7"/>
      <c r="R110" s="13" t="str">
        <f t="shared" si="37"/>
        <v/>
      </c>
      <c r="S110" s="13" t="str">
        <f t="shared" si="38"/>
        <v/>
      </c>
      <c r="T110" s="14" t="str">
        <f t="shared" si="39"/>
        <v/>
      </c>
      <c r="U110" s="14">
        <v>1000</v>
      </c>
      <c r="V110" s="14">
        <v>1000</v>
      </c>
      <c r="W110" s="8">
        <f t="shared" si="40"/>
        <v>7.6999999999999999E-2</v>
      </c>
      <c r="X110" s="13" t="str">
        <f t="shared" si="41"/>
        <v/>
      </c>
      <c r="Y110" s="13" t="str">
        <f t="shared" si="42"/>
        <v/>
      </c>
      <c r="Z110" s="15" t="str">
        <f t="shared" si="43"/>
        <v/>
      </c>
      <c r="AA110" s="15">
        <f t="shared" si="44"/>
        <v>900</v>
      </c>
      <c r="AB110" s="15" t="str">
        <f t="shared" si="45"/>
        <v/>
      </c>
      <c r="AC110" s="13" t="str">
        <f t="shared" si="46"/>
        <v/>
      </c>
      <c r="AD110" s="8" t="str">
        <f t="shared" si="47"/>
        <v/>
      </c>
      <c r="AE110" s="1"/>
      <c r="AF110" s="1"/>
      <c r="AG110" s="1"/>
    </row>
    <row r="111" spans="1:33" ht="15">
      <c r="A111" s="1">
        <f t="shared" si="36"/>
        <v>108</v>
      </c>
      <c r="B111" s="1"/>
      <c r="C111" s="1"/>
      <c r="D111" s="1"/>
      <c r="E111" s="1"/>
      <c r="F111" s="6"/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7"/>
      <c r="R111" s="13" t="str">
        <f t="shared" si="37"/>
        <v/>
      </c>
      <c r="S111" s="13" t="str">
        <f t="shared" si="38"/>
        <v/>
      </c>
      <c r="T111" s="14" t="str">
        <f t="shared" si="39"/>
        <v/>
      </c>
      <c r="U111" s="14">
        <v>1000</v>
      </c>
      <c r="V111" s="14">
        <v>1000</v>
      </c>
      <c r="W111" s="8">
        <f t="shared" si="40"/>
        <v>7.6999999999999999E-2</v>
      </c>
      <c r="X111" s="13" t="str">
        <f t="shared" si="41"/>
        <v/>
      </c>
      <c r="Y111" s="13" t="str">
        <f t="shared" si="42"/>
        <v/>
      </c>
      <c r="Z111" s="15" t="str">
        <f t="shared" si="43"/>
        <v/>
      </c>
      <c r="AA111" s="15">
        <f t="shared" si="44"/>
        <v>900</v>
      </c>
      <c r="AB111" s="15" t="str">
        <f t="shared" si="45"/>
        <v/>
      </c>
      <c r="AC111" s="13" t="str">
        <f t="shared" si="46"/>
        <v/>
      </c>
      <c r="AD111" s="8" t="str">
        <f t="shared" si="47"/>
        <v/>
      </c>
      <c r="AE111" s="1"/>
      <c r="AF111" s="1"/>
      <c r="AG111" s="1"/>
    </row>
    <row r="112" spans="1:33" ht="15">
      <c r="A112" s="1">
        <f t="shared" si="36"/>
        <v>109</v>
      </c>
      <c r="B112" s="1"/>
      <c r="C112" s="1"/>
      <c r="D112" s="1"/>
      <c r="E112" s="1"/>
      <c r="F112" s="6"/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7"/>
      <c r="R112" s="13" t="str">
        <f t="shared" si="37"/>
        <v/>
      </c>
      <c r="S112" s="13" t="str">
        <f t="shared" si="38"/>
        <v/>
      </c>
      <c r="T112" s="14" t="str">
        <f t="shared" si="39"/>
        <v/>
      </c>
      <c r="U112" s="14">
        <v>1000</v>
      </c>
      <c r="V112" s="14">
        <v>1000</v>
      </c>
      <c r="W112" s="8">
        <f t="shared" si="40"/>
        <v>7.6999999999999999E-2</v>
      </c>
      <c r="X112" s="13" t="str">
        <f t="shared" si="41"/>
        <v/>
      </c>
      <c r="Y112" s="13" t="str">
        <f t="shared" si="42"/>
        <v/>
      </c>
      <c r="Z112" s="15" t="str">
        <f t="shared" si="43"/>
        <v/>
      </c>
      <c r="AA112" s="15">
        <f t="shared" si="44"/>
        <v>900</v>
      </c>
      <c r="AB112" s="15" t="str">
        <f t="shared" si="45"/>
        <v/>
      </c>
      <c r="AC112" s="13" t="str">
        <f t="shared" si="46"/>
        <v/>
      </c>
      <c r="AD112" s="8" t="str">
        <f t="shared" si="47"/>
        <v/>
      </c>
      <c r="AE112" s="1"/>
      <c r="AF112" s="1"/>
      <c r="AG112" s="1"/>
    </row>
    <row r="113" spans="1:33" ht="15">
      <c r="A113" s="1">
        <f t="shared" si="36"/>
        <v>110</v>
      </c>
      <c r="B113" s="1"/>
      <c r="C113" s="1"/>
      <c r="D113" s="1"/>
      <c r="E113" s="1"/>
      <c r="F113" s="6"/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7"/>
      <c r="R113" s="13" t="str">
        <f t="shared" si="37"/>
        <v/>
      </c>
      <c r="S113" s="13" t="str">
        <f t="shared" si="38"/>
        <v/>
      </c>
      <c r="T113" s="14" t="str">
        <f t="shared" si="39"/>
        <v/>
      </c>
      <c r="U113" s="14">
        <v>1000</v>
      </c>
      <c r="V113" s="14">
        <v>1000</v>
      </c>
      <c r="W113" s="8">
        <f t="shared" si="40"/>
        <v>7.6999999999999999E-2</v>
      </c>
      <c r="X113" s="13" t="str">
        <f t="shared" si="41"/>
        <v/>
      </c>
      <c r="Y113" s="13" t="str">
        <f t="shared" si="42"/>
        <v/>
      </c>
      <c r="Z113" s="15" t="str">
        <f t="shared" si="43"/>
        <v/>
      </c>
      <c r="AA113" s="15">
        <f t="shared" si="44"/>
        <v>900</v>
      </c>
      <c r="AB113" s="15" t="str">
        <f t="shared" si="45"/>
        <v/>
      </c>
      <c r="AC113" s="13" t="str">
        <f t="shared" si="46"/>
        <v/>
      </c>
      <c r="AD113" s="8" t="str">
        <f t="shared" si="47"/>
        <v/>
      </c>
      <c r="AE113" s="1"/>
      <c r="AF113" s="1"/>
      <c r="AG113" s="1"/>
    </row>
    <row r="114" spans="1:33" ht="15">
      <c r="A114" s="1">
        <f t="shared" si="36"/>
        <v>111</v>
      </c>
      <c r="B114" s="1"/>
      <c r="C114" s="1"/>
      <c r="D114" s="1"/>
      <c r="E114" s="1"/>
      <c r="F114" s="6"/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7"/>
      <c r="R114" s="13" t="str">
        <f t="shared" si="37"/>
        <v/>
      </c>
      <c r="S114" s="13" t="str">
        <f t="shared" si="38"/>
        <v/>
      </c>
      <c r="T114" s="14" t="str">
        <f t="shared" si="39"/>
        <v/>
      </c>
      <c r="U114" s="14">
        <v>1000</v>
      </c>
      <c r="V114" s="14">
        <v>1000</v>
      </c>
      <c r="W114" s="8">
        <f t="shared" si="40"/>
        <v>7.6999999999999999E-2</v>
      </c>
      <c r="X114" s="13" t="str">
        <f t="shared" si="41"/>
        <v/>
      </c>
      <c r="Y114" s="13" t="str">
        <f t="shared" si="42"/>
        <v/>
      </c>
      <c r="Z114" s="15" t="str">
        <f t="shared" si="43"/>
        <v/>
      </c>
      <c r="AA114" s="15">
        <f t="shared" si="44"/>
        <v>900</v>
      </c>
      <c r="AB114" s="15" t="str">
        <f t="shared" si="45"/>
        <v/>
      </c>
      <c r="AC114" s="13" t="str">
        <f t="shared" si="46"/>
        <v/>
      </c>
      <c r="AD114" s="8" t="str">
        <f t="shared" si="47"/>
        <v/>
      </c>
      <c r="AE114" s="1"/>
      <c r="AF114" s="1"/>
      <c r="AG114" s="1"/>
    </row>
    <row r="115" spans="1:33" ht="15">
      <c r="A115" s="1">
        <f t="shared" si="36"/>
        <v>112</v>
      </c>
      <c r="B115" s="1"/>
      <c r="C115" s="1"/>
      <c r="D115" s="1"/>
      <c r="E115" s="1"/>
      <c r="F115" s="6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7"/>
      <c r="R115" s="13" t="str">
        <f t="shared" si="37"/>
        <v/>
      </c>
      <c r="S115" s="13" t="str">
        <f t="shared" si="38"/>
        <v/>
      </c>
      <c r="T115" s="14" t="str">
        <f t="shared" si="39"/>
        <v/>
      </c>
      <c r="U115" s="14">
        <v>1000</v>
      </c>
      <c r="V115" s="14">
        <v>1000</v>
      </c>
      <c r="W115" s="8">
        <f t="shared" si="40"/>
        <v>7.6999999999999999E-2</v>
      </c>
      <c r="X115" s="13" t="str">
        <f t="shared" si="41"/>
        <v/>
      </c>
      <c r="Y115" s="13" t="str">
        <f t="shared" si="42"/>
        <v/>
      </c>
      <c r="Z115" s="15" t="str">
        <f t="shared" si="43"/>
        <v/>
      </c>
      <c r="AA115" s="15">
        <f t="shared" si="44"/>
        <v>900</v>
      </c>
      <c r="AB115" s="15" t="str">
        <f t="shared" si="45"/>
        <v/>
      </c>
      <c r="AC115" s="13" t="str">
        <f t="shared" si="46"/>
        <v/>
      </c>
      <c r="AD115" s="8" t="str">
        <f t="shared" si="47"/>
        <v/>
      </c>
      <c r="AE115" s="1"/>
      <c r="AF115" s="1"/>
      <c r="AG115" s="1"/>
    </row>
    <row r="116" spans="1:33" ht="15">
      <c r="A116" s="1">
        <f t="shared" si="36"/>
        <v>113</v>
      </c>
      <c r="B116" s="1"/>
      <c r="C116" s="1"/>
      <c r="D116" s="1"/>
      <c r="E116" s="1"/>
      <c r="F116" s="6"/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7"/>
      <c r="R116" s="13" t="str">
        <f t="shared" si="37"/>
        <v/>
      </c>
      <c r="S116" s="13" t="str">
        <f t="shared" si="38"/>
        <v/>
      </c>
      <c r="T116" s="14" t="str">
        <f t="shared" si="39"/>
        <v/>
      </c>
      <c r="U116" s="14">
        <v>1000</v>
      </c>
      <c r="V116" s="14">
        <v>1000</v>
      </c>
      <c r="W116" s="8">
        <f t="shared" si="40"/>
        <v>7.6999999999999999E-2</v>
      </c>
      <c r="X116" s="13" t="str">
        <f t="shared" si="41"/>
        <v/>
      </c>
      <c r="Y116" s="13" t="str">
        <f t="shared" si="42"/>
        <v/>
      </c>
      <c r="Z116" s="15" t="str">
        <f t="shared" si="43"/>
        <v/>
      </c>
      <c r="AA116" s="15">
        <f t="shared" si="44"/>
        <v>900</v>
      </c>
      <c r="AB116" s="15" t="str">
        <f t="shared" si="45"/>
        <v/>
      </c>
      <c r="AC116" s="13" t="str">
        <f t="shared" si="46"/>
        <v/>
      </c>
      <c r="AD116" s="8" t="str">
        <f t="shared" si="47"/>
        <v/>
      </c>
      <c r="AE116" s="1"/>
      <c r="AF116" s="1"/>
      <c r="AG116" s="1"/>
    </row>
    <row r="117" spans="1:33" ht="15">
      <c r="A117" s="1">
        <f t="shared" si="36"/>
        <v>114</v>
      </c>
      <c r="B117" s="1"/>
      <c r="C117" s="1"/>
      <c r="D117" s="1"/>
      <c r="E117" s="1"/>
      <c r="F117" s="6"/>
      <c r="G117" s="5"/>
      <c r="H117" s="1"/>
      <c r="I117" s="1"/>
      <c r="J117" s="1"/>
      <c r="K117" s="1"/>
      <c r="L117" s="1"/>
      <c r="M117" s="1"/>
      <c r="N117" s="1"/>
      <c r="O117" s="1"/>
      <c r="P117" s="1"/>
      <c r="Q117" s="7"/>
      <c r="R117" s="13" t="str">
        <f t="shared" si="37"/>
        <v/>
      </c>
      <c r="S117" s="13" t="str">
        <f t="shared" si="38"/>
        <v/>
      </c>
      <c r="T117" s="14" t="str">
        <f t="shared" si="39"/>
        <v/>
      </c>
      <c r="U117" s="14">
        <v>1000</v>
      </c>
      <c r="V117" s="14">
        <v>1000</v>
      </c>
      <c r="W117" s="8">
        <f t="shared" si="40"/>
        <v>7.6999999999999999E-2</v>
      </c>
      <c r="X117" s="13" t="str">
        <f t="shared" si="41"/>
        <v/>
      </c>
      <c r="Y117" s="13" t="str">
        <f t="shared" si="42"/>
        <v/>
      </c>
      <c r="Z117" s="15" t="str">
        <f t="shared" si="43"/>
        <v/>
      </c>
      <c r="AA117" s="15">
        <f t="shared" si="44"/>
        <v>900</v>
      </c>
      <c r="AB117" s="15" t="str">
        <f t="shared" si="45"/>
        <v/>
      </c>
      <c r="AC117" s="13" t="str">
        <f t="shared" si="46"/>
        <v/>
      </c>
      <c r="AD117" s="8" t="str">
        <f t="shared" si="47"/>
        <v/>
      </c>
      <c r="AE117" s="1"/>
      <c r="AF117" s="1"/>
      <c r="AG117" s="1"/>
    </row>
    <row r="118" spans="1:33" ht="15">
      <c r="A118" s="1">
        <f t="shared" si="36"/>
        <v>115</v>
      </c>
      <c r="B118" s="1"/>
      <c r="C118" s="1"/>
      <c r="D118" s="1"/>
      <c r="E118" s="1"/>
      <c r="F118" s="6"/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7"/>
      <c r="R118" s="13" t="str">
        <f t="shared" si="37"/>
        <v/>
      </c>
      <c r="S118" s="13" t="str">
        <f t="shared" si="38"/>
        <v/>
      </c>
      <c r="T118" s="14" t="str">
        <f t="shared" si="39"/>
        <v/>
      </c>
      <c r="U118" s="14">
        <v>1000</v>
      </c>
      <c r="V118" s="14">
        <v>1000</v>
      </c>
      <c r="W118" s="8">
        <f t="shared" si="40"/>
        <v>7.6999999999999999E-2</v>
      </c>
      <c r="X118" s="13" t="str">
        <f t="shared" si="41"/>
        <v/>
      </c>
      <c r="Y118" s="13" t="str">
        <f t="shared" si="42"/>
        <v/>
      </c>
      <c r="Z118" s="15" t="str">
        <f t="shared" si="43"/>
        <v/>
      </c>
      <c r="AA118" s="15">
        <f t="shared" si="44"/>
        <v>900</v>
      </c>
      <c r="AB118" s="15" t="str">
        <f t="shared" si="45"/>
        <v/>
      </c>
      <c r="AC118" s="13" t="str">
        <f t="shared" si="46"/>
        <v/>
      </c>
      <c r="AD118" s="8" t="str">
        <f t="shared" si="47"/>
        <v/>
      </c>
      <c r="AE118" s="1"/>
      <c r="AF118" s="1"/>
      <c r="AG118" s="1"/>
    </row>
    <row r="119" spans="1:33" ht="15">
      <c r="A119" s="1">
        <f t="shared" si="36"/>
        <v>116</v>
      </c>
      <c r="B119" s="1"/>
      <c r="C119" s="1"/>
      <c r="D119" s="1"/>
      <c r="E119" s="1"/>
      <c r="F119" s="6"/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7"/>
      <c r="R119" s="13" t="str">
        <f t="shared" si="37"/>
        <v/>
      </c>
      <c r="S119" s="13" t="str">
        <f t="shared" si="38"/>
        <v/>
      </c>
      <c r="T119" s="14" t="str">
        <f t="shared" si="39"/>
        <v/>
      </c>
      <c r="U119" s="14">
        <v>1000</v>
      </c>
      <c r="V119" s="14">
        <v>1000</v>
      </c>
      <c r="W119" s="8">
        <f t="shared" si="40"/>
        <v>7.6999999999999999E-2</v>
      </c>
      <c r="X119" s="13" t="str">
        <f t="shared" si="41"/>
        <v/>
      </c>
      <c r="Y119" s="13" t="str">
        <f t="shared" si="42"/>
        <v/>
      </c>
      <c r="Z119" s="15" t="str">
        <f t="shared" si="43"/>
        <v/>
      </c>
      <c r="AA119" s="15">
        <f t="shared" si="44"/>
        <v>900</v>
      </c>
      <c r="AB119" s="15" t="str">
        <f t="shared" si="45"/>
        <v/>
      </c>
      <c r="AC119" s="13" t="str">
        <f t="shared" si="46"/>
        <v/>
      </c>
      <c r="AD119" s="8" t="str">
        <f t="shared" si="47"/>
        <v/>
      </c>
      <c r="AE119" s="1"/>
      <c r="AF119" s="1"/>
      <c r="AG119" s="1"/>
    </row>
    <row r="120" spans="1:33" ht="15">
      <c r="A120" s="1">
        <f t="shared" si="36"/>
        <v>117</v>
      </c>
      <c r="B120" s="1"/>
      <c r="C120" s="1"/>
      <c r="D120" s="1"/>
      <c r="E120" s="1"/>
      <c r="F120" s="6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7"/>
      <c r="R120" s="13" t="str">
        <f t="shared" si="37"/>
        <v/>
      </c>
      <c r="S120" s="13" t="str">
        <f t="shared" si="38"/>
        <v/>
      </c>
      <c r="T120" s="14" t="str">
        <f t="shared" si="39"/>
        <v/>
      </c>
      <c r="U120" s="14">
        <v>1000</v>
      </c>
      <c r="V120" s="14">
        <v>1000</v>
      </c>
      <c r="W120" s="8">
        <f t="shared" si="40"/>
        <v>7.6999999999999999E-2</v>
      </c>
      <c r="X120" s="13" t="str">
        <f t="shared" si="41"/>
        <v/>
      </c>
      <c r="Y120" s="13" t="str">
        <f t="shared" si="42"/>
        <v/>
      </c>
      <c r="Z120" s="15" t="str">
        <f t="shared" si="43"/>
        <v/>
      </c>
      <c r="AA120" s="15">
        <f t="shared" si="44"/>
        <v>900</v>
      </c>
      <c r="AB120" s="15" t="str">
        <f t="shared" si="45"/>
        <v/>
      </c>
      <c r="AC120" s="13" t="str">
        <f t="shared" si="46"/>
        <v/>
      </c>
      <c r="AD120" s="8" t="str">
        <f t="shared" si="47"/>
        <v/>
      </c>
      <c r="AE120" s="1"/>
      <c r="AF120" s="1"/>
      <c r="AG120" s="1"/>
    </row>
    <row r="121" spans="1:33" ht="15">
      <c r="A121" s="1">
        <f t="shared" si="36"/>
        <v>118</v>
      </c>
      <c r="B121" s="1"/>
      <c r="C121" s="1"/>
      <c r="D121" s="1"/>
      <c r="E121" s="1"/>
      <c r="F121" s="6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7"/>
      <c r="R121" s="13" t="str">
        <f t="shared" si="37"/>
        <v/>
      </c>
      <c r="S121" s="13" t="str">
        <f t="shared" si="38"/>
        <v/>
      </c>
      <c r="T121" s="14" t="str">
        <f t="shared" si="39"/>
        <v/>
      </c>
      <c r="U121" s="14">
        <v>1000</v>
      </c>
      <c r="V121" s="14">
        <v>1000</v>
      </c>
      <c r="W121" s="8">
        <f t="shared" si="40"/>
        <v>7.6999999999999999E-2</v>
      </c>
      <c r="X121" s="13" t="str">
        <f t="shared" si="41"/>
        <v/>
      </c>
      <c r="Y121" s="13" t="str">
        <f t="shared" si="42"/>
        <v/>
      </c>
      <c r="Z121" s="15" t="str">
        <f t="shared" si="43"/>
        <v/>
      </c>
      <c r="AA121" s="15">
        <f t="shared" si="44"/>
        <v>900</v>
      </c>
      <c r="AB121" s="15" t="str">
        <f t="shared" si="45"/>
        <v/>
      </c>
      <c r="AC121" s="13" t="str">
        <f t="shared" si="46"/>
        <v/>
      </c>
      <c r="AD121" s="8" t="str">
        <f t="shared" si="47"/>
        <v/>
      </c>
      <c r="AE121" s="1"/>
      <c r="AF121" s="1"/>
      <c r="AG121" s="1"/>
    </row>
    <row r="122" spans="1:33" ht="15">
      <c r="A122" s="1">
        <f t="shared" si="36"/>
        <v>119</v>
      </c>
      <c r="B122" s="1"/>
      <c r="C122" s="1"/>
      <c r="D122" s="1"/>
      <c r="E122" s="1"/>
      <c r="F122" s="6"/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7"/>
      <c r="R122" s="13" t="str">
        <f t="shared" si="37"/>
        <v/>
      </c>
      <c r="S122" s="13" t="str">
        <f t="shared" si="38"/>
        <v/>
      </c>
      <c r="T122" s="14" t="str">
        <f t="shared" si="39"/>
        <v/>
      </c>
      <c r="U122" s="14">
        <v>1000</v>
      </c>
      <c r="V122" s="14">
        <v>1000</v>
      </c>
      <c r="W122" s="8">
        <f t="shared" si="40"/>
        <v>7.6999999999999999E-2</v>
      </c>
      <c r="X122" s="13" t="str">
        <f t="shared" si="41"/>
        <v/>
      </c>
      <c r="Y122" s="13" t="str">
        <f t="shared" si="42"/>
        <v/>
      </c>
      <c r="Z122" s="15" t="str">
        <f t="shared" si="43"/>
        <v/>
      </c>
      <c r="AA122" s="15">
        <f t="shared" si="44"/>
        <v>900</v>
      </c>
      <c r="AB122" s="15" t="str">
        <f t="shared" si="45"/>
        <v/>
      </c>
      <c r="AC122" s="13" t="str">
        <f t="shared" si="46"/>
        <v/>
      </c>
      <c r="AD122" s="8" t="str">
        <f t="shared" si="47"/>
        <v/>
      </c>
      <c r="AE122" s="1"/>
      <c r="AF122" s="1"/>
      <c r="AG122" s="1"/>
    </row>
    <row r="123" spans="1:33" ht="15">
      <c r="A123" s="1">
        <f t="shared" si="36"/>
        <v>120</v>
      </c>
      <c r="B123" s="1"/>
      <c r="C123" s="1"/>
      <c r="D123" s="1"/>
      <c r="E123" s="1"/>
      <c r="F123" s="6"/>
      <c r="G123" s="5"/>
      <c r="H123" s="1"/>
      <c r="I123" s="1"/>
      <c r="J123" s="1"/>
      <c r="K123" s="1"/>
      <c r="L123" s="1"/>
      <c r="M123" s="1"/>
      <c r="N123" s="1"/>
      <c r="O123" s="1"/>
      <c r="P123" s="1"/>
      <c r="Q123" s="7"/>
      <c r="R123" s="13" t="str">
        <f t="shared" si="37"/>
        <v/>
      </c>
      <c r="S123" s="13" t="str">
        <f t="shared" si="38"/>
        <v/>
      </c>
      <c r="T123" s="14" t="str">
        <f t="shared" si="39"/>
        <v/>
      </c>
      <c r="U123" s="14">
        <v>1000</v>
      </c>
      <c r="V123" s="14">
        <v>1000</v>
      </c>
      <c r="W123" s="8">
        <f t="shared" si="40"/>
        <v>7.6999999999999999E-2</v>
      </c>
      <c r="X123" s="13" t="str">
        <f t="shared" si="41"/>
        <v/>
      </c>
      <c r="Y123" s="13" t="str">
        <f t="shared" si="42"/>
        <v/>
      </c>
      <c r="Z123" s="15" t="str">
        <f t="shared" si="43"/>
        <v/>
      </c>
      <c r="AA123" s="15">
        <f t="shared" si="44"/>
        <v>900</v>
      </c>
      <c r="AB123" s="15" t="str">
        <f t="shared" si="45"/>
        <v/>
      </c>
      <c r="AC123" s="13" t="str">
        <f t="shared" si="46"/>
        <v/>
      </c>
      <c r="AD123" s="8" t="str">
        <f t="shared" si="47"/>
        <v/>
      </c>
      <c r="AE123" s="1"/>
      <c r="AF123" s="1"/>
      <c r="AG123" s="1"/>
    </row>
    <row r="124" spans="1:33" ht="15">
      <c r="A124" s="1">
        <f t="shared" si="36"/>
        <v>121</v>
      </c>
      <c r="B124" s="1"/>
      <c r="C124" s="1"/>
      <c r="D124" s="1"/>
      <c r="E124" s="1"/>
      <c r="F124" s="6"/>
      <c r="G124" s="5"/>
      <c r="H124" s="1"/>
      <c r="I124" s="1"/>
      <c r="J124" s="1"/>
      <c r="K124" s="1"/>
      <c r="L124" s="1"/>
      <c r="M124" s="1"/>
      <c r="N124" s="1"/>
      <c r="O124" s="1"/>
      <c r="P124" s="1"/>
      <c r="Q124" s="7"/>
      <c r="R124" s="13" t="str">
        <f t="shared" si="37"/>
        <v/>
      </c>
      <c r="S124" s="13" t="str">
        <f t="shared" si="38"/>
        <v/>
      </c>
      <c r="T124" s="14" t="str">
        <f t="shared" si="39"/>
        <v/>
      </c>
      <c r="U124" s="14">
        <v>1000</v>
      </c>
      <c r="V124" s="14">
        <v>1000</v>
      </c>
      <c r="W124" s="8">
        <f t="shared" si="40"/>
        <v>7.6999999999999999E-2</v>
      </c>
      <c r="X124" s="13" t="str">
        <f t="shared" si="41"/>
        <v/>
      </c>
      <c r="Y124" s="13" t="str">
        <f t="shared" si="42"/>
        <v/>
      </c>
      <c r="Z124" s="15" t="str">
        <f t="shared" si="43"/>
        <v/>
      </c>
      <c r="AA124" s="15">
        <f t="shared" si="44"/>
        <v>900</v>
      </c>
      <c r="AB124" s="15" t="str">
        <f t="shared" si="45"/>
        <v/>
      </c>
      <c r="AC124" s="13" t="str">
        <f t="shared" si="46"/>
        <v/>
      </c>
      <c r="AD124" s="8" t="str">
        <f t="shared" si="47"/>
        <v/>
      </c>
      <c r="AE124" s="1"/>
      <c r="AF124" s="1"/>
      <c r="AG124" s="1"/>
    </row>
    <row r="125" spans="1:33" ht="15">
      <c r="A125" s="1">
        <f t="shared" si="36"/>
        <v>122</v>
      </c>
      <c r="B125" s="1"/>
      <c r="C125" s="1"/>
      <c r="D125" s="1"/>
      <c r="E125" s="1"/>
      <c r="F125" s="6"/>
      <c r="G125" s="5"/>
      <c r="H125" s="1"/>
      <c r="I125" s="1"/>
      <c r="J125" s="1"/>
      <c r="K125" s="1"/>
      <c r="L125" s="1"/>
      <c r="M125" s="1"/>
      <c r="N125" s="1"/>
      <c r="O125" s="1"/>
      <c r="P125" s="1"/>
      <c r="Q125" s="7"/>
      <c r="R125" s="13" t="str">
        <f t="shared" si="37"/>
        <v/>
      </c>
      <c r="S125" s="13" t="str">
        <f t="shared" si="38"/>
        <v/>
      </c>
      <c r="T125" s="14" t="str">
        <f t="shared" si="39"/>
        <v/>
      </c>
      <c r="U125" s="14">
        <v>1000</v>
      </c>
      <c r="V125" s="14">
        <v>1000</v>
      </c>
      <c r="W125" s="8">
        <f t="shared" si="40"/>
        <v>7.6999999999999999E-2</v>
      </c>
      <c r="X125" s="13" t="str">
        <f t="shared" si="41"/>
        <v/>
      </c>
      <c r="Y125" s="13" t="str">
        <f t="shared" si="42"/>
        <v/>
      </c>
      <c r="Z125" s="15" t="str">
        <f t="shared" si="43"/>
        <v/>
      </c>
      <c r="AA125" s="15">
        <f t="shared" si="44"/>
        <v>900</v>
      </c>
      <c r="AB125" s="15" t="str">
        <f t="shared" si="45"/>
        <v/>
      </c>
      <c r="AC125" s="13" t="str">
        <f t="shared" si="46"/>
        <v/>
      </c>
      <c r="AD125" s="8" t="str">
        <f t="shared" si="47"/>
        <v/>
      </c>
      <c r="AE125" s="1"/>
      <c r="AF125" s="1"/>
      <c r="AG125" s="1"/>
    </row>
    <row r="126" spans="1:33" ht="15">
      <c r="A126" s="1">
        <f t="shared" si="36"/>
        <v>123</v>
      </c>
      <c r="B126" s="1"/>
      <c r="C126" s="1"/>
      <c r="D126" s="1"/>
      <c r="E126" s="1"/>
      <c r="F126" s="6"/>
      <c r="G126" s="5"/>
      <c r="H126" s="1"/>
      <c r="I126" s="1"/>
      <c r="J126" s="1"/>
      <c r="K126" s="1"/>
      <c r="L126" s="1"/>
      <c r="M126" s="1"/>
      <c r="N126" s="1"/>
      <c r="O126" s="1"/>
      <c r="P126" s="1"/>
      <c r="Q126" s="7"/>
      <c r="R126" s="13" t="str">
        <f t="shared" si="37"/>
        <v/>
      </c>
      <c r="S126" s="13" t="str">
        <f t="shared" si="38"/>
        <v/>
      </c>
      <c r="T126" s="14" t="str">
        <f t="shared" si="39"/>
        <v/>
      </c>
      <c r="U126" s="14">
        <v>1000</v>
      </c>
      <c r="V126" s="14">
        <v>1000</v>
      </c>
      <c r="W126" s="8">
        <f t="shared" si="40"/>
        <v>7.6999999999999999E-2</v>
      </c>
      <c r="X126" s="13" t="str">
        <f t="shared" si="41"/>
        <v/>
      </c>
      <c r="Y126" s="13" t="str">
        <f t="shared" si="42"/>
        <v/>
      </c>
      <c r="Z126" s="15" t="str">
        <f t="shared" si="43"/>
        <v/>
      </c>
      <c r="AA126" s="15">
        <f t="shared" si="44"/>
        <v>900</v>
      </c>
      <c r="AB126" s="15" t="str">
        <f t="shared" si="45"/>
        <v/>
      </c>
      <c r="AC126" s="13" t="str">
        <f t="shared" si="46"/>
        <v/>
      </c>
      <c r="AD126" s="8" t="str">
        <f t="shared" si="47"/>
        <v/>
      </c>
      <c r="AE126" s="1"/>
      <c r="AF126" s="1"/>
      <c r="AG126" s="1"/>
    </row>
    <row r="127" spans="1:33" ht="15">
      <c r="A127" s="1">
        <f t="shared" si="36"/>
        <v>124</v>
      </c>
      <c r="B127" s="1"/>
      <c r="C127" s="1"/>
      <c r="D127" s="1"/>
      <c r="E127" s="1"/>
      <c r="F127" s="6"/>
      <c r="G127" s="5"/>
      <c r="H127" s="1"/>
      <c r="I127" s="1"/>
      <c r="J127" s="1"/>
      <c r="K127" s="1"/>
      <c r="L127" s="1"/>
      <c r="M127" s="1"/>
      <c r="N127" s="1"/>
      <c r="O127" s="1"/>
      <c r="P127" s="1"/>
      <c r="Q127" s="7"/>
      <c r="R127" s="13" t="str">
        <f t="shared" si="37"/>
        <v/>
      </c>
      <c r="S127" s="13" t="str">
        <f t="shared" si="38"/>
        <v/>
      </c>
      <c r="T127" s="14" t="str">
        <f t="shared" si="39"/>
        <v/>
      </c>
      <c r="U127" s="14">
        <v>1000</v>
      </c>
      <c r="V127" s="14">
        <v>1000</v>
      </c>
      <c r="W127" s="8">
        <f t="shared" si="40"/>
        <v>7.6999999999999999E-2</v>
      </c>
      <c r="X127" s="13" t="str">
        <f t="shared" si="41"/>
        <v/>
      </c>
      <c r="Y127" s="13" t="str">
        <f t="shared" si="42"/>
        <v/>
      </c>
      <c r="Z127" s="15" t="str">
        <f t="shared" si="43"/>
        <v/>
      </c>
      <c r="AA127" s="15">
        <f t="shared" si="44"/>
        <v>900</v>
      </c>
      <c r="AB127" s="15" t="str">
        <f t="shared" si="45"/>
        <v/>
      </c>
      <c r="AC127" s="13" t="str">
        <f t="shared" si="46"/>
        <v/>
      </c>
      <c r="AD127" s="8" t="str">
        <f t="shared" si="47"/>
        <v/>
      </c>
      <c r="AE127" s="1"/>
      <c r="AF127" s="1"/>
      <c r="AG127" s="1"/>
    </row>
    <row r="128" spans="1:33" ht="15">
      <c r="A128" s="1">
        <f t="shared" si="36"/>
        <v>125</v>
      </c>
      <c r="B128" s="1"/>
      <c r="C128" s="1"/>
      <c r="D128" s="1"/>
      <c r="E128" s="1"/>
      <c r="F128" s="6"/>
      <c r="G128" s="5"/>
      <c r="H128" s="1"/>
      <c r="I128" s="1"/>
      <c r="J128" s="1"/>
      <c r="K128" s="1"/>
      <c r="L128" s="1"/>
      <c r="M128" s="1"/>
      <c r="N128" s="1"/>
      <c r="O128" s="1"/>
      <c r="P128" s="1"/>
      <c r="Q128" s="7"/>
      <c r="R128" s="13" t="str">
        <f t="shared" si="37"/>
        <v/>
      </c>
      <c r="S128" s="13" t="str">
        <f t="shared" si="38"/>
        <v/>
      </c>
      <c r="T128" s="14" t="str">
        <f t="shared" si="39"/>
        <v/>
      </c>
      <c r="U128" s="14">
        <v>1000</v>
      </c>
      <c r="V128" s="14">
        <v>1000</v>
      </c>
      <c r="W128" s="8">
        <f t="shared" si="40"/>
        <v>7.6999999999999999E-2</v>
      </c>
      <c r="X128" s="13" t="str">
        <f t="shared" si="41"/>
        <v/>
      </c>
      <c r="Y128" s="13" t="str">
        <f t="shared" si="42"/>
        <v/>
      </c>
      <c r="Z128" s="15" t="str">
        <f t="shared" si="43"/>
        <v/>
      </c>
      <c r="AA128" s="15">
        <f t="shared" si="44"/>
        <v>900</v>
      </c>
      <c r="AB128" s="15" t="str">
        <f t="shared" si="45"/>
        <v/>
      </c>
      <c r="AC128" s="13" t="str">
        <f t="shared" si="46"/>
        <v/>
      </c>
      <c r="AD128" s="8" t="str">
        <f t="shared" si="47"/>
        <v/>
      </c>
      <c r="AE128" s="1"/>
      <c r="AF128" s="1"/>
      <c r="AG128" s="1"/>
    </row>
    <row r="129" spans="1:33" ht="15">
      <c r="A129" s="1">
        <f t="shared" si="36"/>
        <v>126</v>
      </c>
      <c r="B129" s="1"/>
      <c r="C129" s="1"/>
      <c r="D129" s="1"/>
      <c r="E129" s="1"/>
      <c r="F129" s="6"/>
      <c r="G129" s="5"/>
      <c r="H129" s="1"/>
      <c r="I129" s="1"/>
      <c r="J129" s="1"/>
      <c r="K129" s="1"/>
      <c r="L129" s="1"/>
      <c r="M129" s="1"/>
      <c r="N129" s="1"/>
      <c r="O129" s="1"/>
      <c r="P129" s="1"/>
      <c r="Q129" s="7"/>
      <c r="R129" s="13" t="str">
        <f t="shared" si="37"/>
        <v/>
      </c>
      <c r="S129" s="13" t="str">
        <f t="shared" si="38"/>
        <v/>
      </c>
      <c r="T129" s="14" t="str">
        <f t="shared" si="39"/>
        <v/>
      </c>
      <c r="U129" s="14">
        <v>1000</v>
      </c>
      <c r="V129" s="14">
        <v>1000</v>
      </c>
      <c r="W129" s="8">
        <f t="shared" si="40"/>
        <v>7.6999999999999999E-2</v>
      </c>
      <c r="X129" s="13" t="str">
        <f t="shared" si="41"/>
        <v/>
      </c>
      <c r="Y129" s="13" t="str">
        <f t="shared" si="42"/>
        <v/>
      </c>
      <c r="Z129" s="15" t="str">
        <f t="shared" si="43"/>
        <v/>
      </c>
      <c r="AA129" s="15">
        <f t="shared" si="44"/>
        <v>900</v>
      </c>
      <c r="AB129" s="15" t="str">
        <f t="shared" si="45"/>
        <v/>
      </c>
      <c r="AC129" s="13" t="str">
        <f t="shared" si="46"/>
        <v/>
      </c>
      <c r="AD129" s="8" t="str">
        <f t="shared" si="47"/>
        <v/>
      </c>
      <c r="AE129" s="1"/>
      <c r="AF129" s="1"/>
      <c r="AG129" s="1"/>
    </row>
    <row r="130" spans="1:33" ht="15">
      <c r="A130" s="1">
        <f t="shared" si="36"/>
        <v>127</v>
      </c>
      <c r="B130" s="1"/>
      <c r="C130" s="1"/>
      <c r="D130" s="1"/>
      <c r="E130" s="1"/>
      <c r="F130" s="6"/>
      <c r="G130" s="5"/>
      <c r="H130" s="1"/>
      <c r="I130" s="1"/>
      <c r="J130" s="1"/>
      <c r="K130" s="1"/>
      <c r="L130" s="1"/>
      <c r="M130" s="1"/>
      <c r="N130" s="1"/>
      <c r="O130" s="1"/>
      <c r="P130" s="1"/>
      <c r="Q130" s="7"/>
      <c r="R130" s="13" t="str">
        <f t="shared" si="37"/>
        <v/>
      </c>
      <c r="S130" s="13" t="str">
        <f t="shared" si="38"/>
        <v/>
      </c>
      <c r="T130" s="14" t="str">
        <f t="shared" si="39"/>
        <v/>
      </c>
      <c r="U130" s="14">
        <v>1000</v>
      </c>
      <c r="V130" s="14">
        <v>1000</v>
      </c>
      <c r="W130" s="8">
        <f t="shared" si="40"/>
        <v>7.6999999999999999E-2</v>
      </c>
      <c r="X130" s="13" t="str">
        <f t="shared" si="41"/>
        <v/>
      </c>
      <c r="Y130" s="13" t="str">
        <f t="shared" si="42"/>
        <v/>
      </c>
      <c r="Z130" s="15" t="str">
        <f t="shared" si="43"/>
        <v/>
      </c>
      <c r="AA130" s="15">
        <f t="shared" si="44"/>
        <v>900</v>
      </c>
      <c r="AB130" s="15" t="str">
        <f t="shared" si="45"/>
        <v/>
      </c>
      <c r="AC130" s="13" t="str">
        <f t="shared" si="46"/>
        <v/>
      </c>
      <c r="AD130" s="8" t="str">
        <f t="shared" si="47"/>
        <v/>
      </c>
      <c r="AE130" s="1"/>
      <c r="AF130" s="1"/>
      <c r="AG130" s="1"/>
    </row>
    <row r="131" spans="1:33" ht="15">
      <c r="A131" s="1">
        <f t="shared" si="36"/>
        <v>128</v>
      </c>
      <c r="B131" s="1"/>
      <c r="C131" s="1"/>
      <c r="D131" s="1"/>
      <c r="E131" s="1"/>
      <c r="F131" s="6"/>
      <c r="G131" s="5"/>
      <c r="H131" s="1"/>
      <c r="I131" s="1"/>
      <c r="J131" s="1"/>
      <c r="K131" s="1"/>
      <c r="L131" s="1"/>
      <c r="M131" s="1"/>
      <c r="N131" s="1"/>
      <c r="O131" s="1"/>
      <c r="P131" s="1"/>
      <c r="Q131" s="7"/>
      <c r="R131" s="13" t="str">
        <f t="shared" si="37"/>
        <v/>
      </c>
      <c r="S131" s="13" t="str">
        <f t="shared" si="38"/>
        <v/>
      </c>
      <c r="T131" s="14" t="str">
        <f t="shared" si="39"/>
        <v/>
      </c>
      <c r="U131" s="14">
        <v>1000</v>
      </c>
      <c r="V131" s="14">
        <v>1000</v>
      </c>
      <c r="W131" s="8">
        <f t="shared" si="40"/>
        <v>7.6999999999999999E-2</v>
      </c>
      <c r="X131" s="13" t="str">
        <f t="shared" si="41"/>
        <v/>
      </c>
      <c r="Y131" s="13" t="str">
        <f t="shared" si="42"/>
        <v/>
      </c>
      <c r="Z131" s="15" t="str">
        <f t="shared" si="43"/>
        <v/>
      </c>
      <c r="AA131" s="15">
        <f t="shared" si="44"/>
        <v>900</v>
      </c>
      <c r="AB131" s="15" t="str">
        <f t="shared" si="45"/>
        <v/>
      </c>
      <c r="AC131" s="13" t="str">
        <f t="shared" si="46"/>
        <v/>
      </c>
      <c r="AD131" s="8" t="str">
        <f t="shared" si="47"/>
        <v/>
      </c>
      <c r="AE131" s="1"/>
      <c r="AF131" s="1"/>
      <c r="AG131" s="1"/>
    </row>
    <row r="132" spans="1:33" ht="15">
      <c r="A132" s="1">
        <f t="shared" ref="A132:A163" si="48">ROW()-3</f>
        <v>129</v>
      </c>
      <c r="B132" s="1"/>
      <c r="C132" s="1"/>
      <c r="D132" s="1"/>
      <c r="E132" s="1"/>
      <c r="F132" s="6"/>
      <c r="G132" s="5"/>
      <c r="H132" s="1"/>
      <c r="I132" s="1"/>
      <c r="J132" s="1"/>
      <c r="K132" s="1"/>
      <c r="L132" s="1"/>
      <c r="M132" s="1"/>
      <c r="N132" s="1"/>
      <c r="O132" s="1"/>
      <c r="P132" s="1"/>
      <c r="Q132" s="7"/>
      <c r="R132" s="13" t="str">
        <f t="shared" ref="R132:R163" si="49">IF(OR(F132="",Q132=""),"",IF(OR(G132="USD",G132="EUR",G132="GBP"),F132*Q132,F132))</f>
        <v/>
      </c>
      <c r="S132" s="13" t="str">
        <f t="shared" ref="S132:S163" si="50">IF(Q132="","",IF(OR(J132="イギリス",J132="アメリカ",J132="イタリア",J132="フランス",J132="ドイツ",J132="スペイン",J132="オランダ",J132="ベルギー",J132="ポルトガル",J132="オーストリア",ISNUMBER(SEARCH("MyUS",K132))),ROUND(R132*0.08,0),0))</f>
        <v/>
      </c>
      <c r="T132" s="14" t="str">
        <f t="shared" ref="T132:T163" si="51">IF(Q132="","",IF(OR(ISNUMBER(SEARCH("コート",C132)),ISNUMBER(SEARCH("Coat",C132)),ISNUMBER(SEARCH("coat",C132))),15000,IF(OR(ISNUMBER(SEARCH("靴",C132)),ISNUMBER(SEARCH("スニーカー",C132)),ISNUMBER(SEARCH("Sneaker",C132)),ISNUMBER(SEARCH("sneaker",C132)),ISNUMBER(SEARCH("Shoes",C132)),ISNUMBER(SEARCH("shoes",C132)),ISNUMBER(SEARCH("Boot",C132)),ISNUMBER(SEARCH("boot",C132)),ISNUMBER(SEARCH("バッグ",C132)),ISNUMBER(SEARCH("Bag",C132)),ISNUMBER(SEARCH("bag",C132)),ISNUMBER(SEARCH("Tote",C132)),ISNUMBER(SEARCH("tote",C132)),ISNUMBER(SEARCH("Shoulder",C132)),ISNUMBER(SEARCH("shoulder",C132))),12000,7200)))</f>
        <v/>
      </c>
      <c r="U132" s="14">
        <v>1000</v>
      </c>
      <c r="V132" s="14">
        <v>1000</v>
      </c>
      <c r="W132" s="8">
        <f t="shared" ref="W132:W163" si="52">IF(A132="","",0.077)</f>
        <v>7.6999999999999999E-2</v>
      </c>
      <c r="X132" s="13" t="str">
        <f t="shared" ref="X132:X163" si="53">IF($Q132="","",ROUND(Y132*10%,0))</f>
        <v/>
      </c>
      <c r="Y132" s="13" t="str">
        <f t="shared" ref="Y132:Y163" si="54">IF(R132="","",R132+S132+T132+U132+V132)</f>
        <v/>
      </c>
      <c r="Z132" s="15" t="str">
        <f t="shared" ref="Z132:Z163" si="55">IF($Q132="","",IF(1-W132&lt;=0,"",ROUNDUP((Y132+X132)/(1-W132),0))-72)</f>
        <v/>
      </c>
      <c r="AA132" s="15">
        <f t="shared" ref="AA132:AA163" si="56">IF(A132="","",900)</f>
        <v>900</v>
      </c>
      <c r="AB132" s="15" t="str">
        <f t="shared" ref="AB132:AB163" si="57">IF(Z132="","",Z132+AA132)</f>
        <v/>
      </c>
      <c r="AC132" s="13" t="str">
        <f t="shared" ref="AC132:AC163" si="58">IF(Z132="","",Z132*(1-W132)-Y132)</f>
        <v/>
      </c>
      <c r="AD132" s="8" t="str">
        <f t="shared" ref="AD132:AD163" si="59">IF(AB132="","",AC132/AB132)</f>
        <v/>
      </c>
      <c r="AE132" s="1"/>
      <c r="AF132" s="1"/>
      <c r="AG132" s="1"/>
    </row>
    <row r="133" spans="1:33" ht="15">
      <c r="A133" s="1">
        <f t="shared" si="48"/>
        <v>130</v>
      </c>
      <c r="B133" s="1"/>
      <c r="C133" s="1"/>
      <c r="D133" s="1"/>
      <c r="E133" s="1"/>
      <c r="F133" s="6"/>
      <c r="G133" s="5"/>
      <c r="H133" s="1"/>
      <c r="I133" s="1"/>
      <c r="J133" s="1"/>
      <c r="K133" s="1"/>
      <c r="L133" s="1"/>
      <c r="M133" s="1"/>
      <c r="N133" s="1"/>
      <c r="O133" s="1"/>
      <c r="P133" s="1"/>
      <c r="Q133" s="7"/>
      <c r="R133" s="13" t="str">
        <f t="shared" si="49"/>
        <v/>
      </c>
      <c r="S133" s="13" t="str">
        <f t="shared" si="50"/>
        <v/>
      </c>
      <c r="T133" s="14" t="str">
        <f t="shared" si="51"/>
        <v/>
      </c>
      <c r="U133" s="14">
        <v>1000</v>
      </c>
      <c r="V133" s="14">
        <v>1000</v>
      </c>
      <c r="W133" s="8">
        <f t="shared" si="52"/>
        <v>7.6999999999999999E-2</v>
      </c>
      <c r="X133" s="13" t="str">
        <f t="shared" si="53"/>
        <v/>
      </c>
      <c r="Y133" s="13" t="str">
        <f t="shared" si="54"/>
        <v/>
      </c>
      <c r="Z133" s="15" t="str">
        <f t="shared" si="55"/>
        <v/>
      </c>
      <c r="AA133" s="15">
        <f t="shared" si="56"/>
        <v>900</v>
      </c>
      <c r="AB133" s="15" t="str">
        <f t="shared" si="57"/>
        <v/>
      </c>
      <c r="AC133" s="13" t="str">
        <f t="shared" si="58"/>
        <v/>
      </c>
      <c r="AD133" s="8" t="str">
        <f t="shared" si="59"/>
        <v/>
      </c>
      <c r="AE133" s="1"/>
      <c r="AF133" s="1"/>
      <c r="AG133" s="1"/>
    </row>
    <row r="134" spans="1:33" ht="15">
      <c r="A134" s="1">
        <f t="shared" si="48"/>
        <v>131</v>
      </c>
      <c r="B134" s="1"/>
      <c r="C134" s="1"/>
      <c r="D134" s="1"/>
      <c r="E134" s="1"/>
      <c r="F134" s="6"/>
      <c r="G134" s="5"/>
      <c r="H134" s="1"/>
      <c r="I134" s="1"/>
      <c r="J134" s="1"/>
      <c r="K134" s="1"/>
      <c r="L134" s="1"/>
      <c r="M134" s="1"/>
      <c r="N134" s="1"/>
      <c r="O134" s="1"/>
      <c r="P134" s="1"/>
      <c r="Q134" s="7"/>
      <c r="R134" s="13" t="str">
        <f t="shared" si="49"/>
        <v/>
      </c>
      <c r="S134" s="13" t="str">
        <f t="shared" si="50"/>
        <v/>
      </c>
      <c r="T134" s="14" t="str">
        <f t="shared" si="51"/>
        <v/>
      </c>
      <c r="U134" s="14">
        <v>1000</v>
      </c>
      <c r="V134" s="14">
        <v>1000</v>
      </c>
      <c r="W134" s="8">
        <f t="shared" si="52"/>
        <v>7.6999999999999999E-2</v>
      </c>
      <c r="X134" s="13" t="str">
        <f t="shared" si="53"/>
        <v/>
      </c>
      <c r="Y134" s="13" t="str">
        <f t="shared" si="54"/>
        <v/>
      </c>
      <c r="Z134" s="15" t="str">
        <f t="shared" si="55"/>
        <v/>
      </c>
      <c r="AA134" s="15">
        <f t="shared" si="56"/>
        <v>900</v>
      </c>
      <c r="AB134" s="15" t="str">
        <f t="shared" si="57"/>
        <v/>
      </c>
      <c r="AC134" s="13" t="str">
        <f t="shared" si="58"/>
        <v/>
      </c>
      <c r="AD134" s="8" t="str">
        <f t="shared" si="59"/>
        <v/>
      </c>
      <c r="AE134" s="1"/>
      <c r="AF134" s="1"/>
      <c r="AG134" s="1"/>
    </row>
    <row r="135" spans="1:33" ht="15">
      <c r="A135" s="1">
        <f t="shared" si="48"/>
        <v>132</v>
      </c>
      <c r="B135" s="1"/>
      <c r="C135" s="1"/>
      <c r="D135" s="1"/>
      <c r="E135" s="1"/>
      <c r="F135" s="6"/>
      <c r="G135" s="5"/>
      <c r="H135" s="1"/>
      <c r="I135" s="1"/>
      <c r="J135" s="1"/>
      <c r="K135" s="1"/>
      <c r="L135" s="1"/>
      <c r="M135" s="1"/>
      <c r="N135" s="1"/>
      <c r="O135" s="1"/>
      <c r="P135" s="1"/>
      <c r="Q135" s="7"/>
      <c r="R135" s="13" t="str">
        <f t="shared" si="49"/>
        <v/>
      </c>
      <c r="S135" s="13" t="str">
        <f t="shared" si="50"/>
        <v/>
      </c>
      <c r="T135" s="14" t="str">
        <f t="shared" si="51"/>
        <v/>
      </c>
      <c r="U135" s="14">
        <v>1000</v>
      </c>
      <c r="V135" s="14">
        <v>1000</v>
      </c>
      <c r="W135" s="8">
        <f t="shared" si="52"/>
        <v>7.6999999999999999E-2</v>
      </c>
      <c r="X135" s="13" t="str">
        <f t="shared" si="53"/>
        <v/>
      </c>
      <c r="Y135" s="13" t="str">
        <f t="shared" si="54"/>
        <v/>
      </c>
      <c r="Z135" s="15" t="str">
        <f t="shared" si="55"/>
        <v/>
      </c>
      <c r="AA135" s="15">
        <f t="shared" si="56"/>
        <v>900</v>
      </c>
      <c r="AB135" s="15" t="str">
        <f t="shared" si="57"/>
        <v/>
      </c>
      <c r="AC135" s="13" t="str">
        <f t="shared" si="58"/>
        <v/>
      </c>
      <c r="AD135" s="8" t="str">
        <f t="shared" si="59"/>
        <v/>
      </c>
      <c r="AE135" s="1"/>
      <c r="AF135" s="1"/>
      <c r="AG135" s="1"/>
    </row>
    <row r="136" spans="1:33" ht="15">
      <c r="A136" s="1">
        <f t="shared" si="48"/>
        <v>133</v>
      </c>
      <c r="B136" s="1"/>
      <c r="C136" s="1"/>
      <c r="D136" s="1"/>
      <c r="E136" s="1"/>
      <c r="F136" s="6"/>
      <c r="G136" s="5"/>
      <c r="H136" s="1"/>
      <c r="I136" s="1"/>
      <c r="J136" s="1"/>
      <c r="K136" s="1"/>
      <c r="L136" s="1"/>
      <c r="M136" s="1"/>
      <c r="N136" s="1"/>
      <c r="O136" s="1"/>
      <c r="P136" s="1"/>
      <c r="Q136" s="7"/>
      <c r="R136" s="13" t="str">
        <f t="shared" si="49"/>
        <v/>
      </c>
      <c r="S136" s="13" t="str">
        <f t="shared" si="50"/>
        <v/>
      </c>
      <c r="T136" s="14" t="str">
        <f t="shared" si="51"/>
        <v/>
      </c>
      <c r="U136" s="14">
        <v>1000</v>
      </c>
      <c r="V136" s="14">
        <v>1000</v>
      </c>
      <c r="W136" s="8">
        <f t="shared" si="52"/>
        <v>7.6999999999999999E-2</v>
      </c>
      <c r="X136" s="13" t="str">
        <f t="shared" si="53"/>
        <v/>
      </c>
      <c r="Y136" s="13" t="str">
        <f t="shared" si="54"/>
        <v/>
      </c>
      <c r="Z136" s="15" t="str">
        <f t="shared" si="55"/>
        <v/>
      </c>
      <c r="AA136" s="15">
        <f t="shared" si="56"/>
        <v>900</v>
      </c>
      <c r="AB136" s="15" t="str">
        <f t="shared" si="57"/>
        <v/>
      </c>
      <c r="AC136" s="13" t="str">
        <f t="shared" si="58"/>
        <v/>
      </c>
      <c r="AD136" s="8" t="str">
        <f t="shared" si="59"/>
        <v/>
      </c>
      <c r="AE136" s="1"/>
      <c r="AF136" s="1"/>
      <c r="AG136" s="1"/>
    </row>
    <row r="137" spans="1:33" ht="15">
      <c r="A137" s="1">
        <f t="shared" si="48"/>
        <v>134</v>
      </c>
      <c r="B137" s="1"/>
      <c r="C137" s="1"/>
      <c r="D137" s="1"/>
      <c r="E137" s="1"/>
      <c r="F137" s="6"/>
      <c r="G137" s="5"/>
      <c r="H137" s="1"/>
      <c r="I137" s="1"/>
      <c r="J137" s="1"/>
      <c r="K137" s="1"/>
      <c r="L137" s="1"/>
      <c r="M137" s="1"/>
      <c r="N137" s="1"/>
      <c r="O137" s="1"/>
      <c r="P137" s="1"/>
      <c r="Q137" s="7"/>
      <c r="R137" s="13" t="str">
        <f t="shared" si="49"/>
        <v/>
      </c>
      <c r="S137" s="13" t="str">
        <f t="shared" si="50"/>
        <v/>
      </c>
      <c r="T137" s="14" t="str">
        <f t="shared" si="51"/>
        <v/>
      </c>
      <c r="U137" s="14">
        <v>1000</v>
      </c>
      <c r="V137" s="14">
        <v>1000</v>
      </c>
      <c r="W137" s="8">
        <f t="shared" si="52"/>
        <v>7.6999999999999999E-2</v>
      </c>
      <c r="X137" s="13" t="str">
        <f t="shared" si="53"/>
        <v/>
      </c>
      <c r="Y137" s="13" t="str">
        <f t="shared" si="54"/>
        <v/>
      </c>
      <c r="Z137" s="15" t="str">
        <f t="shared" si="55"/>
        <v/>
      </c>
      <c r="AA137" s="15">
        <f t="shared" si="56"/>
        <v>900</v>
      </c>
      <c r="AB137" s="15" t="str">
        <f t="shared" si="57"/>
        <v/>
      </c>
      <c r="AC137" s="13" t="str">
        <f t="shared" si="58"/>
        <v/>
      </c>
      <c r="AD137" s="8" t="str">
        <f t="shared" si="59"/>
        <v/>
      </c>
      <c r="AE137" s="1"/>
      <c r="AF137" s="1"/>
      <c r="AG137" s="1"/>
    </row>
    <row r="138" spans="1:33" ht="15">
      <c r="A138" s="1">
        <f t="shared" si="48"/>
        <v>135</v>
      </c>
      <c r="B138" s="1"/>
      <c r="C138" s="1"/>
      <c r="D138" s="1"/>
      <c r="E138" s="1"/>
      <c r="F138" s="6"/>
      <c r="G138" s="5"/>
      <c r="H138" s="1"/>
      <c r="I138" s="1"/>
      <c r="J138" s="1"/>
      <c r="K138" s="1"/>
      <c r="L138" s="1"/>
      <c r="M138" s="1"/>
      <c r="N138" s="1"/>
      <c r="O138" s="1"/>
      <c r="P138" s="1"/>
      <c r="Q138" s="7"/>
      <c r="R138" s="13" t="str">
        <f t="shared" si="49"/>
        <v/>
      </c>
      <c r="S138" s="13" t="str">
        <f t="shared" si="50"/>
        <v/>
      </c>
      <c r="T138" s="14" t="str">
        <f t="shared" si="51"/>
        <v/>
      </c>
      <c r="U138" s="14">
        <v>1000</v>
      </c>
      <c r="V138" s="14">
        <v>1000</v>
      </c>
      <c r="W138" s="8">
        <f t="shared" si="52"/>
        <v>7.6999999999999999E-2</v>
      </c>
      <c r="X138" s="13" t="str">
        <f t="shared" si="53"/>
        <v/>
      </c>
      <c r="Y138" s="13" t="str">
        <f t="shared" si="54"/>
        <v/>
      </c>
      <c r="Z138" s="15" t="str">
        <f t="shared" si="55"/>
        <v/>
      </c>
      <c r="AA138" s="15">
        <f t="shared" si="56"/>
        <v>900</v>
      </c>
      <c r="AB138" s="15" t="str">
        <f t="shared" si="57"/>
        <v/>
      </c>
      <c r="AC138" s="13" t="str">
        <f t="shared" si="58"/>
        <v/>
      </c>
      <c r="AD138" s="8" t="str">
        <f t="shared" si="59"/>
        <v/>
      </c>
      <c r="AE138" s="1"/>
      <c r="AF138" s="1"/>
      <c r="AG138" s="1"/>
    </row>
    <row r="139" spans="1:33" ht="15">
      <c r="A139" s="1">
        <f t="shared" si="48"/>
        <v>136</v>
      </c>
      <c r="B139" s="1"/>
      <c r="C139" s="1"/>
      <c r="D139" s="1"/>
      <c r="E139" s="1"/>
      <c r="F139" s="6"/>
      <c r="G139" s="5"/>
      <c r="H139" s="1"/>
      <c r="I139" s="1"/>
      <c r="J139" s="1"/>
      <c r="K139" s="1"/>
      <c r="L139" s="1"/>
      <c r="M139" s="1"/>
      <c r="N139" s="1"/>
      <c r="O139" s="1"/>
      <c r="P139" s="1"/>
      <c r="Q139" s="7"/>
      <c r="R139" s="13" t="str">
        <f t="shared" si="49"/>
        <v/>
      </c>
      <c r="S139" s="13" t="str">
        <f t="shared" si="50"/>
        <v/>
      </c>
      <c r="T139" s="14" t="str">
        <f t="shared" si="51"/>
        <v/>
      </c>
      <c r="U139" s="14">
        <v>1000</v>
      </c>
      <c r="V139" s="14">
        <v>1000</v>
      </c>
      <c r="W139" s="8">
        <f t="shared" si="52"/>
        <v>7.6999999999999999E-2</v>
      </c>
      <c r="X139" s="13" t="str">
        <f t="shared" si="53"/>
        <v/>
      </c>
      <c r="Y139" s="13" t="str">
        <f t="shared" si="54"/>
        <v/>
      </c>
      <c r="Z139" s="15" t="str">
        <f t="shared" si="55"/>
        <v/>
      </c>
      <c r="AA139" s="15">
        <f t="shared" si="56"/>
        <v>900</v>
      </c>
      <c r="AB139" s="15" t="str">
        <f t="shared" si="57"/>
        <v/>
      </c>
      <c r="AC139" s="13" t="str">
        <f t="shared" si="58"/>
        <v/>
      </c>
      <c r="AD139" s="8" t="str">
        <f t="shared" si="59"/>
        <v/>
      </c>
      <c r="AE139" s="1"/>
      <c r="AF139" s="1"/>
      <c r="AG139" s="1"/>
    </row>
    <row r="140" spans="1:33" ht="15">
      <c r="A140" s="1">
        <f t="shared" si="48"/>
        <v>137</v>
      </c>
      <c r="B140" s="1"/>
      <c r="C140" s="1"/>
      <c r="D140" s="1"/>
      <c r="E140" s="1"/>
      <c r="F140" s="6"/>
      <c r="G140" s="5"/>
      <c r="H140" s="1"/>
      <c r="I140" s="1"/>
      <c r="J140" s="1"/>
      <c r="K140" s="1"/>
      <c r="L140" s="1"/>
      <c r="M140" s="1"/>
      <c r="N140" s="1"/>
      <c r="O140" s="1"/>
      <c r="P140" s="1"/>
      <c r="Q140" s="7"/>
      <c r="R140" s="13" t="str">
        <f t="shared" si="49"/>
        <v/>
      </c>
      <c r="S140" s="13" t="str">
        <f t="shared" si="50"/>
        <v/>
      </c>
      <c r="T140" s="14" t="str">
        <f t="shared" si="51"/>
        <v/>
      </c>
      <c r="U140" s="14">
        <v>1000</v>
      </c>
      <c r="V140" s="14">
        <v>1000</v>
      </c>
      <c r="W140" s="8">
        <f t="shared" si="52"/>
        <v>7.6999999999999999E-2</v>
      </c>
      <c r="X140" s="13" t="str">
        <f t="shared" si="53"/>
        <v/>
      </c>
      <c r="Y140" s="13" t="str">
        <f t="shared" si="54"/>
        <v/>
      </c>
      <c r="Z140" s="15" t="str">
        <f t="shared" si="55"/>
        <v/>
      </c>
      <c r="AA140" s="15">
        <f t="shared" si="56"/>
        <v>900</v>
      </c>
      <c r="AB140" s="15" t="str">
        <f t="shared" si="57"/>
        <v/>
      </c>
      <c r="AC140" s="13" t="str">
        <f t="shared" si="58"/>
        <v/>
      </c>
      <c r="AD140" s="8" t="str">
        <f t="shared" si="59"/>
        <v/>
      </c>
      <c r="AE140" s="1"/>
      <c r="AF140" s="1"/>
      <c r="AG140" s="1"/>
    </row>
    <row r="141" spans="1:33" ht="15">
      <c r="A141" s="1">
        <f t="shared" si="48"/>
        <v>138</v>
      </c>
      <c r="B141" s="1"/>
      <c r="C141" s="1"/>
      <c r="D141" s="1"/>
      <c r="E141" s="1"/>
      <c r="F141" s="6"/>
      <c r="G141" s="5"/>
      <c r="H141" s="1"/>
      <c r="I141" s="1"/>
      <c r="J141" s="1"/>
      <c r="K141" s="1"/>
      <c r="L141" s="1"/>
      <c r="M141" s="1"/>
      <c r="N141" s="1"/>
      <c r="O141" s="1"/>
      <c r="P141" s="1"/>
      <c r="Q141" s="7"/>
      <c r="R141" s="13" t="str">
        <f t="shared" si="49"/>
        <v/>
      </c>
      <c r="S141" s="13" t="str">
        <f t="shared" si="50"/>
        <v/>
      </c>
      <c r="T141" s="14" t="str">
        <f t="shared" si="51"/>
        <v/>
      </c>
      <c r="U141" s="14">
        <v>1000</v>
      </c>
      <c r="V141" s="14">
        <v>1000</v>
      </c>
      <c r="W141" s="8">
        <f t="shared" si="52"/>
        <v>7.6999999999999999E-2</v>
      </c>
      <c r="X141" s="13" t="str">
        <f t="shared" si="53"/>
        <v/>
      </c>
      <c r="Y141" s="13" t="str">
        <f t="shared" si="54"/>
        <v/>
      </c>
      <c r="Z141" s="15" t="str">
        <f t="shared" si="55"/>
        <v/>
      </c>
      <c r="AA141" s="15">
        <f t="shared" si="56"/>
        <v>900</v>
      </c>
      <c r="AB141" s="15" t="str">
        <f t="shared" si="57"/>
        <v/>
      </c>
      <c r="AC141" s="13" t="str">
        <f t="shared" si="58"/>
        <v/>
      </c>
      <c r="AD141" s="8" t="str">
        <f t="shared" si="59"/>
        <v/>
      </c>
      <c r="AE141" s="1"/>
      <c r="AF141" s="1"/>
      <c r="AG141" s="1"/>
    </row>
    <row r="142" spans="1:33" ht="15">
      <c r="A142" s="1">
        <f t="shared" si="48"/>
        <v>139</v>
      </c>
      <c r="B142" s="1"/>
      <c r="C142" s="1"/>
      <c r="D142" s="1"/>
      <c r="E142" s="1"/>
      <c r="F142" s="6"/>
      <c r="G142" s="5"/>
      <c r="H142" s="1"/>
      <c r="I142" s="1"/>
      <c r="J142" s="1"/>
      <c r="K142" s="1"/>
      <c r="L142" s="1"/>
      <c r="M142" s="1"/>
      <c r="N142" s="1"/>
      <c r="O142" s="1"/>
      <c r="P142" s="1"/>
      <c r="Q142" s="7"/>
      <c r="R142" s="13" t="str">
        <f t="shared" si="49"/>
        <v/>
      </c>
      <c r="S142" s="13" t="str">
        <f t="shared" si="50"/>
        <v/>
      </c>
      <c r="T142" s="14" t="str">
        <f t="shared" si="51"/>
        <v/>
      </c>
      <c r="U142" s="14">
        <v>1000</v>
      </c>
      <c r="V142" s="14">
        <v>1000</v>
      </c>
      <c r="W142" s="8">
        <f t="shared" si="52"/>
        <v>7.6999999999999999E-2</v>
      </c>
      <c r="X142" s="13" t="str">
        <f t="shared" si="53"/>
        <v/>
      </c>
      <c r="Y142" s="13" t="str">
        <f t="shared" si="54"/>
        <v/>
      </c>
      <c r="Z142" s="15" t="str">
        <f t="shared" si="55"/>
        <v/>
      </c>
      <c r="AA142" s="15">
        <f t="shared" si="56"/>
        <v>900</v>
      </c>
      <c r="AB142" s="15" t="str">
        <f t="shared" si="57"/>
        <v/>
      </c>
      <c r="AC142" s="13" t="str">
        <f t="shared" si="58"/>
        <v/>
      </c>
      <c r="AD142" s="8" t="str">
        <f t="shared" si="59"/>
        <v/>
      </c>
      <c r="AE142" s="1"/>
      <c r="AF142" s="1"/>
      <c r="AG142" s="1"/>
    </row>
    <row r="143" spans="1:33" ht="15">
      <c r="A143" s="1">
        <f t="shared" si="48"/>
        <v>140</v>
      </c>
      <c r="B143" s="1"/>
      <c r="C143" s="1"/>
      <c r="D143" s="1"/>
      <c r="E143" s="1"/>
      <c r="F143" s="6"/>
      <c r="G143" s="5"/>
      <c r="H143" s="1"/>
      <c r="I143" s="1"/>
      <c r="J143" s="1"/>
      <c r="K143" s="1"/>
      <c r="L143" s="1"/>
      <c r="M143" s="1"/>
      <c r="N143" s="1"/>
      <c r="O143" s="1"/>
      <c r="P143" s="1"/>
      <c r="Q143" s="7"/>
      <c r="R143" s="13" t="str">
        <f t="shared" si="49"/>
        <v/>
      </c>
      <c r="S143" s="13" t="str">
        <f t="shared" si="50"/>
        <v/>
      </c>
      <c r="T143" s="14" t="str">
        <f t="shared" si="51"/>
        <v/>
      </c>
      <c r="U143" s="14">
        <v>1000</v>
      </c>
      <c r="V143" s="14">
        <v>1000</v>
      </c>
      <c r="W143" s="8">
        <f t="shared" si="52"/>
        <v>7.6999999999999999E-2</v>
      </c>
      <c r="X143" s="13" t="str">
        <f t="shared" si="53"/>
        <v/>
      </c>
      <c r="Y143" s="13" t="str">
        <f t="shared" si="54"/>
        <v/>
      </c>
      <c r="Z143" s="15" t="str">
        <f t="shared" si="55"/>
        <v/>
      </c>
      <c r="AA143" s="15">
        <f t="shared" si="56"/>
        <v>900</v>
      </c>
      <c r="AB143" s="15" t="str">
        <f t="shared" si="57"/>
        <v/>
      </c>
      <c r="AC143" s="13" t="str">
        <f t="shared" si="58"/>
        <v/>
      </c>
      <c r="AD143" s="8" t="str">
        <f t="shared" si="59"/>
        <v/>
      </c>
      <c r="AE143" s="1"/>
      <c r="AF143" s="1"/>
      <c r="AG143" s="1"/>
    </row>
    <row r="144" spans="1:33" ht="15">
      <c r="A144" s="1">
        <f t="shared" si="48"/>
        <v>141</v>
      </c>
      <c r="B144" s="1"/>
      <c r="C144" s="1"/>
      <c r="D144" s="1"/>
      <c r="E144" s="1"/>
      <c r="F144" s="6"/>
      <c r="G144" s="5"/>
      <c r="H144" s="1"/>
      <c r="I144" s="1"/>
      <c r="J144" s="1"/>
      <c r="K144" s="1"/>
      <c r="L144" s="1"/>
      <c r="M144" s="1"/>
      <c r="N144" s="1"/>
      <c r="O144" s="1"/>
      <c r="P144" s="1"/>
      <c r="Q144" s="7"/>
      <c r="R144" s="13" t="str">
        <f t="shared" si="49"/>
        <v/>
      </c>
      <c r="S144" s="13" t="str">
        <f t="shared" si="50"/>
        <v/>
      </c>
      <c r="T144" s="14" t="str">
        <f t="shared" si="51"/>
        <v/>
      </c>
      <c r="U144" s="14">
        <v>1000</v>
      </c>
      <c r="V144" s="14">
        <v>1000</v>
      </c>
      <c r="W144" s="8">
        <f t="shared" si="52"/>
        <v>7.6999999999999999E-2</v>
      </c>
      <c r="X144" s="13" t="str">
        <f t="shared" si="53"/>
        <v/>
      </c>
      <c r="Y144" s="13" t="str">
        <f t="shared" si="54"/>
        <v/>
      </c>
      <c r="Z144" s="15" t="str">
        <f t="shared" si="55"/>
        <v/>
      </c>
      <c r="AA144" s="15">
        <f t="shared" si="56"/>
        <v>900</v>
      </c>
      <c r="AB144" s="15" t="str">
        <f t="shared" si="57"/>
        <v/>
      </c>
      <c r="AC144" s="13" t="str">
        <f t="shared" si="58"/>
        <v/>
      </c>
      <c r="AD144" s="8" t="str">
        <f t="shared" si="59"/>
        <v/>
      </c>
      <c r="AE144" s="1"/>
      <c r="AF144" s="1"/>
      <c r="AG144" s="1"/>
    </row>
    <row r="145" spans="1:33" ht="15">
      <c r="A145" s="1">
        <f t="shared" si="48"/>
        <v>142</v>
      </c>
      <c r="B145" s="1"/>
      <c r="C145" s="1"/>
      <c r="D145" s="1"/>
      <c r="E145" s="1"/>
      <c r="F145" s="6"/>
      <c r="G145" s="5"/>
      <c r="H145" s="1"/>
      <c r="I145" s="1"/>
      <c r="J145" s="1"/>
      <c r="K145" s="1"/>
      <c r="L145" s="1"/>
      <c r="M145" s="1"/>
      <c r="N145" s="1"/>
      <c r="O145" s="1"/>
      <c r="P145" s="1"/>
      <c r="Q145" s="7"/>
      <c r="R145" s="13" t="str">
        <f t="shared" si="49"/>
        <v/>
      </c>
      <c r="S145" s="13" t="str">
        <f t="shared" si="50"/>
        <v/>
      </c>
      <c r="T145" s="14" t="str">
        <f t="shared" si="51"/>
        <v/>
      </c>
      <c r="U145" s="14">
        <v>1000</v>
      </c>
      <c r="V145" s="14">
        <v>1000</v>
      </c>
      <c r="W145" s="8">
        <f t="shared" si="52"/>
        <v>7.6999999999999999E-2</v>
      </c>
      <c r="X145" s="13" t="str">
        <f t="shared" si="53"/>
        <v/>
      </c>
      <c r="Y145" s="13" t="str">
        <f t="shared" si="54"/>
        <v/>
      </c>
      <c r="Z145" s="15" t="str">
        <f t="shared" si="55"/>
        <v/>
      </c>
      <c r="AA145" s="15">
        <f t="shared" si="56"/>
        <v>900</v>
      </c>
      <c r="AB145" s="15" t="str">
        <f t="shared" si="57"/>
        <v/>
      </c>
      <c r="AC145" s="13" t="str">
        <f t="shared" si="58"/>
        <v/>
      </c>
      <c r="AD145" s="8" t="str">
        <f t="shared" si="59"/>
        <v/>
      </c>
      <c r="AE145" s="1"/>
      <c r="AF145" s="1"/>
      <c r="AG145" s="1"/>
    </row>
    <row r="146" spans="1:33" ht="15">
      <c r="A146" s="1">
        <f t="shared" si="48"/>
        <v>143</v>
      </c>
      <c r="B146" s="1"/>
      <c r="C146" s="1"/>
      <c r="D146" s="1"/>
      <c r="E146" s="1"/>
      <c r="F146" s="6"/>
      <c r="G146" s="5"/>
      <c r="H146" s="1"/>
      <c r="I146" s="1"/>
      <c r="J146" s="1"/>
      <c r="K146" s="1"/>
      <c r="L146" s="1"/>
      <c r="M146" s="1"/>
      <c r="N146" s="1"/>
      <c r="O146" s="1"/>
      <c r="P146" s="1"/>
      <c r="Q146" s="7"/>
      <c r="R146" s="13" t="str">
        <f t="shared" si="49"/>
        <v/>
      </c>
      <c r="S146" s="13" t="str">
        <f t="shared" si="50"/>
        <v/>
      </c>
      <c r="T146" s="14" t="str">
        <f t="shared" si="51"/>
        <v/>
      </c>
      <c r="U146" s="14">
        <v>1000</v>
      </c>
      <c r="V146" s="14">
        <v>1000</v>
      </c>
      <c r="W146" s="8">
        <f t="shared" si="52"/>
        <v>7.6999999999999999E-2</v>
      </c>
      <c r="X146" s="13" t="str">
        <f t="shared" si="53"/>
        <v/>
      </c>
      <c r="Y146" s="13" t="str">
        <f t="shared" si="54"/>
        <v/>
      </c>
      <c r="Z146" s="15" t="str">
        <f t="shared" si="55"/>
        <v/>
      </c>
      <c r="AA146" s="15">
        <f t="shared" si="56"/>
        <v>900</v>
      </c>
      <c r="AB146" s="15" t="str">
        <f t="shared" si="57"/>
        <v/>
      </c>
      <c r="AC146" s="13" t="str">
        <f t="shared" si="58"/>
        <v/>
      </c>
      <c r="AD146" s="8" t="str">
        <f t="shared" si="59"/>
        <v/>
      </c>
      <c r="AE146" s="1"/>
      <c r="AF146" s="1"/>
      <c r="AG146" s="1"/>
    </row>
    <row r="147" spans="1:33" ht="15">
      <c r="A147" s="1">
        <f t="shared" si="48"/>
        <v>144</v>
      </c>
      <c r="B147" s="1"/>
      <c r="C147" s="1"/>
      <c r="D147" s="1"/>
      <c r="E147" s="1"/>
      <c r="F147" s="6"/>
      <c r="G147" s="5"/>
      <c r="H147" s="1"/>
      <c r="I147" s="1"/>
      <c r="J147" s="1"/>
      <c r="K147" s="1"/>
      <c r="L147" s="1"/>
      <c r="M147" s="1"/>
      <c r="N147" s="1"/>
      <c r="O147" s="1"/>
      <c r="P147" s="1"/>
      <c r="Q147" s="7"/>
      <c r="R147" s="13" t="str">
        <f t="shared" si="49"/>
        <v/>
      </c>
      <c r="S147" s="13" t="str">
        <f t="shared" si="50"/>
        <v/>
      </c>
      <c r="T147" s="14" t="str">
        <f t="shared" si="51"/>
        <v/>
      </c>
      <c r="U147" s="14">
        <v>1000</v>
      </c>
      <c r="V147" s="14">
        <v>1000</v>
      </c>
      <c r="W147" s="8">
        <f t="shared" si="52"/>
        <v>7.6999999999999999E-2</v>
      </c>
      <c r="X147" s="13" t="str">
        <f t="shared" si="53"/>
        <v/>
      </c>
      <c r="Y147" s="13" t="str">
        <f t="shared" si="54"/>
        <v/>
      </c>
      <c r="Z147" s="15" t="str">
        <f t="shared" si="55"/>
        <v/>
      </c>
      <c r="AA147" s="15">
        <f t="shared" si="56"/>
        <v>900</v>
      </c>
      <c r="AB147" s="15" t="str">
        <f t="shared" si="57"/>
        <v/>
      </c>
      <c r="AC147" s="13" t="str">
        <f t="shared" si="58"/>
        <v/>
      </c>
      <c r="AD147" s="8" t="str">
        <f t="shared" si="59"/>
        <v/>
      </c>
      <c r="AE147" s="1"/>
      <c r="AF147" s="1"/>
      <c r="AG147" s="1"/>
    </row>
    <row r="148" spans="1:33" ht="15">
      <c r="A148" s="1">
        <f t="shared" si="48"/>
        <v>145</v>
      </c>
      <c r="B148" s="1"/>
      <c r="C148" s="1"/>
      <c r="D148" s="1"/>
      <c r="E148" s="1"/>
      <c r="F148" s="6"/>
      <c r="G148" s="5"/>
      <c r="H148" s="1"/>
      <c r="I148" s="1"/>
      <c r="J148" s="1"/>
      <c r="K148" s="1"/>
      <c r="L148" s="1"/>
      <c r="M148" s="1"/>
      <c r="N148" s="1"/>
      <c r="O148" s="1"/>
      <c r="P148" s="1"/>
      <c r="Q148" s="7"/>
      <c r="R148" s="13" t="str">
        <f t="shared" si="49"/>
        <v/>
      </c>
      <c r="S148" s="13" t="str">
        <f t="shared" si="50"/>
        <v/>
      </c>
      <c r="T148" s="14" t="str">
        <f t="shared" si="51"/>
        <v/>
      </c>
      <c r="U148" s="14">
        <v>1000</v>
      </c>
      <c r="V148" s="14">
        <v>1000</v>
      </c>
      <c r="W148" s="8">
        <f t="shared" si="52"/>
        <v>7.6999999999999999E-2</v>
      </c>
      <c r="X148" s="13" t="str">
        <f t="shared" si="53"/>
        <v/>
      </c>
      <c r="Y148" s="13" t="str">
        <f t="shared" si="54"/>
        <v/>
      </c>
      <c r="Z148" s="15" t="str">
        <f t="shared" si="55"/>
        <v/>
      </c>
      <c r="AA148" s="15">
        <f t="shared" si="56"/>
        <v>900</v>
      </c>
      <c r="AB148" s="15" t="str">
        <f t="shared" si="57"/>
        <v/>
      </c>
      <c r="AC148" s="13" t="str">
        <f t="shared" si="58"/>
        <v/>
      </c>
      <c r="AD148" s="8" t="str">
        <f t="shared" si="59"/>
        <v/>
      </c>
      <c r="AE148" s="1"/>
      <c r="AF148" s="1"/>
      <c r="AG148" s="1"/>
    </row>
    <row r="149" spans="1:33" ht="15">
      <c r="A149" s="1">
        <f t="shared" si="48"/>
        <v>146</v>
      </c>
      <c r="B149" s="1"/>
      <c r="C149" s="1"/>
      <c r="D149" s="1"/>
      <c r="E149" s="1"/>
      <c r="F149" s="6"/>
      <c r="G149" s="5"/>
      <c r="H149" s="1"/>
      <c r="I149" s="1"/>
      <c r="J149" s="1"/>
      <c r="K149" s="1"/>
      <c r="L149" s="1"/>
      <c r="M149" s="1"/>
      <c r="N149" s="1"/>
      <c r="O149" s="1"/>
      <c r="P149" s="1"/>
      <c r="Q149" s="7"/>
      <c r="R149" s="13" t="str">
        <f t="shared" si="49"/>
        <v/>
      </c>
      <c r="S149" s="13" t="str">
        <f t="shared" si="50"/>
        <v/>
      </c>
      <c r="T149" s="14" t="str">
        <f t="shared" si="51"/>
        <v/>
      </c>
      <c r="U149" s="14">
        <v>1000</v>
      </c>
      <c r="V149" s="14">
        <v>1000</v>
      </c>
      <c r="W149" s="8">
        <f t="shared" si="52"/>
        <v>7.6999999999999999E-2</v>
      </c>
      <c r="X149" s="13" t="str">
        <f t="shared" si="53"/>
        <v/>
      </c>
      <c r="Y149" s="13" t="str">
        <f t="shared" si="54"/>
        <v/>
      </c>
      <c r="Z149" s="15" t="str">
        <f t="shared" si="55"/>
        <v/>
      </c>
      <c r="AA149" s="15">
        <f t="shared" si="56"/>
        <v>900</v>
      </c>
      <c r="AB149" s="15" t="str">
        <f t="shared" si="57"/>
        <v/>
      </c>
      <c r="AC149" s="13" t="str">
        <f t="shared" si="58"/>
        <v/>
      </c>
      <c r="AD149" s="8" t="str">
        <f t="shared" si="59"/>
        <v/>
      </c>
      <c r="AE149" s="1"/>
      <c r="AF149" s="1"/>
      <c r="AG149" s="1"/>
    </row>
    <row r="150" spans="1:33" ht="15">
      <c r="A150" s="1">
        <f t="shared" si="48"/>
        <v>147</v>
      </c>
      <c r="B150" s="1"/>
      <c r="C150" s="1"/>
      <c r="D150" s="1"/>
      <c r="E150" s="1"/>
      <c r="F150" s="6"/>
      <c r="G150" s="5"/>
      <c r="H150" s="1"/>
      <c r="I150" s="1"/>
      <c r="J150" s="1"/>
      <c r="K150" s="1"/>
      <c r="L150" s="1"/>
      <c r="M150" s="1"/>
      <c r="N150" s="1"/>
      <c r="O150" s="1"/>
      <c r="P150" s="1"/>
      <c r="Q150" s="7"/>
      <c r="R150" s="13" t="str">
        <f t="shared" si="49"/>
        <v/>
      </c>
      <c r="S150" s="13" t="str">
        <f t="shared" si="50"/>
        <v/>
      </c>
      <c r="T150" s="14" t="str">
        <f t="shared" si="51"/>
        <v/>
      </c>
      <c r="U150" s="14">
        <v>1000</v>
      </c>
      <c r="V150" s="14">
        <v>1000</v>
      </c>
      <c r="W150" s="8">
        <f t="shared" si="52"/>
        <v>7.6999999999999999E-2</v>
      </c>
      <c r="X150" s="13" t="str">
        <f t="shared" si="53"/>
        <v/>
      </c>
      <c r="Y150" s="13" t="str">
        <f t="shared" si="54"/>
        <v/>
      </c>
      <c r="Z150" s="15" t="str">
        <f t="shared" si="55"/>
        <v/>
      </c>
      <c r="AA150" s="15">
        <f t="shared" si="56"/>
        <v>900</v>
      </c>
      <c r="AB150" s="15" t="str">
        <f t="shared" si="57"/>
        <v/>
      </c>
      <c r="AC150" s="13" t="str">
        <f t="shared" si="58"/>
        <v/>
      </c>
      <c r="AD150" s="8" t="str">
        <f t="shared" si="59"/>
        <v/>
      </c>
      <c r="AE150" s="1"/>
      <c r="AF150" s="1"/>
      <c r="AG150" s="1"/>
    </row>
    <row r="151" spans="1:33" ht="15">
      <c r="A151" s="1">
        <f t="shared" si="48"/>
        <v>148</v>
      </c>
      <c r="B151" s="1"/>
      <c r="C151" s="1"/>
      <c r="D151" s="1"/>
      <c r="E151" s="1"/>
      <c r="F151" s="6"/>
      <c r="G151" s="5"/>
      <c r="H151" s="1"/>
      <c r="I151" s="1"/>
      <c r="J151" s="1"/>
      <c r="K151" s="1"/>
      <c r="L151" s="1"/>
      <c r="M151" s="1"/>
      <c r="N151" s="1"/>
      <c r="O151" s="1"/>
      <c r="P151" s="1"/>
      <c r="Q151" s="7"/>
      <c r="R151" s="13" t="str">
        <f t="shared" si="49"/>
        <v/>
      </c>
      <c r="S151" s="13" t="str">
        <f t="shared" si="50"/>
        <v/>
      </c>
      <c r="T151" s="14" t="str">
        <f t="shared" si="51"/>
        <v/>
      </c>
      <c r="U151" s="14">
        <v>1000</v>
      </c>
      <c r="V151" s="14">
        <v>1000</v>
      </c>
      <c r="W151" s="8">
        <f t="shared" si="52"/>
        <v>7.6999999999999999E-2</v>
      </c>
      <c r="X151" s="13" t="str">
        <f t="shared" si="53"/>
        <v/>
      </c>
      <c r="Y151" s="13" t="str">
        <f t="shared" si="54"/>
        <v/>
      </c>
      <c r="Z151" s="15" t="str">
        <f t="shared" si="55"/>
        <v/>
      </c>
      <c r="AA151" s="15">
        <f t="shared" si="56"/>
        <v>900</v>
      </c>
      <c r="AB151" s="15" t="str">
        <f t="shared" si="57"/>
        <v/>
      </c>
      <c r="AC151" s="13" t="str">
        <f t="shared" si="58"/>
        <v/>
      </c>
      <c r="AD151" s="8" t="str">
        <f t="shared" si="59"/>
        <v/>
      </c>
      <c r="AE151" s="1"/>
      <c r="AF151" s="1"/>
      <c r="AG151" s="1"/>
    </row>
    <row r="152" spans="1:33" ht="15">
      <c r="A152" s="1">
        <f t="shared" si="48"/>
        <v>149</v>
      </c>
      <c r="B152" s="1"/>
      <c r="C152" s="1"/>
      <c r="D152" s="1"/>
      <c r="E152" s="1"/>
      <c r="F152" s="6"/>
      <c r="G152" s="5"/>
      <c r="H152" s="1"/>
      <c r="I152" s="1"/>
      <c r="J152" s="1"/>
      <c r="K152" s="1"/>
      <c r="L152" s="1"/>
      <c r="M152" s="1"/>
      <c r="N152" s="1"/>
      <c r="O152" s="1"/>
      <c r="P152" s="1"/>
      <c r="Q152" s="7"/>
      <c r="R152" s="13" t="str">
        <f t="shared" si="49"/>
        <v/>
      </c>
      <c r="S152" s="13" t="str">
        <f t="shared" si="50"/>
        <v/>
      </c>
      <c r="T152" s="14" t="str">
        <f t="shared" si="51"/>
        <v/>
      </c>
      <c r="U152" s="14">
        <v>1000</v>
      </c>
      <c r="V152" s="14">
        <v>1000</v>
      </c>
      <c r="W152" s="8">
        <f t="shared" si="52"/>
        <v>7.6999999999999999E-2</v>
      </c>
      <c r="X152" s="13" t="str">
        <f t="shared" si="53"/>
        <v/>
      </c>
      <c r="Y152" s="13" t="str">
        <f t="shared" si="54"/>
        <v/>
      </c>
      <c r="Z152" s="15" t="str">
        <f t="shared" si="55"/>
        <v/>
      </c>
      <c r="AA152" s="15">
        <f t="shared" si="56"/>
        <v>900</v>
      </c>
      <c r="AB152" s="15" t="str">
        <f t="shared" si="57"/>
        <v/>
      </c>
      <c r="AC152" s="13" t="str">
        <f t="shared" si="58"/>
        <v/>
      </c>
      <c r="AD152" s="8" t="str">
        <f t="shared" si="59"/>
        <v/>
      </c>
      <c r="AE152" s="1"/>
      <c r="AF152" s="1"/>
      <c r="AG152" s="1"/>
    </row>
    <row r="153" spans="1:33" ht="15">
      <c r="A153" s="1">
        <f t="shared" si="48"/>
        <v>150</v>
      </c>
      <c r="B153" s="1"/>
      <c r="C153" s="1"/>
      <c r="D153" s="1"/>
      <c r="E153" s="1"/>
      <c r="F153" s="6"/>
      <c r="G153" s="5"/>
      <c r="H153" s="1"/>
      <c r="I153" s="1"/>
      <c r="J153" s="1"/>
      <c r="K153" s="1"/>
      <c r="L153" s="1"/>
      <c r="M153" s="1"/>
      <c r="N153" s="1"/>
      <c r="O153" s="1"/>
      <c r="P153" s="1"/>
      <c r="Q153" s="7"/>
      <c r="R153" s="13" t="str">
        <f t="shared" si="49"/>
        <v/>
      </c>
      <c r="S153" s="13" t="str">
        <f t="shared" si="50"/>
        <v/>
      </c>
      <c r="T153" s="14" t="str">
        <f t="shared" si="51"/>
        <v/>
      </c>
      <c r="U153" s="14">
        <v>1000</v>
      </c>
      <c r="V153" s="14">
        <v>1000</v>
      </c>
      <c r="W153" s="8">
        <f t="shared" si="52"/>
        <v>7.6999999999999999E-2</v>
      </c>
      <c r="X153" s="13" t="str">
        <f t="shared" si="53"/>
        <v/>
      </c>
      <c r="Y153" s="13" t="str">
        <f t="shared" si="54"/>
        <v/>
      </c>
      <c r="Z153" s="15" t="str">
        <f t="shared" si="55"/>
        <v/>
      </c>
      <c r="AA153" s="15">
        <f t="shared" si="56"/>
        <v>900</v>
      </c>
      <c r="AB153" s="15" t="str">
        <f t="shared" si="57"/>
        <v/>
      </c>
      <c r="AC153" s="13" t="str">
        <f t="shared" si="58"/>
        <v/>
      </c>
      <c r="AD153" s="8" t="str">
        <f t="shared" si="59"/>
        <v/>
      </c>
      <c r="AE153" s="1"/>
      <c r="AF153" s="1"/>
      <c r="AG153" s="1"/>
    </row>
    <row r="154" spans="1:33" ht="15">
      <c r="A154" s="1">
        <f t="shared" si="48"/>
        <v>151</v>
      </c>
      <c r="B154" s="1"/>
      <c r="C154" s="1"/>
      <c r="D154" s="1"/>
      <c r="E154" s="1"/>
      <c r="F154" s="6"/>
      <c r="G154" s="5"/>
      <c r="H154" s="1"/>
      <c r="I154" s="1"/>
      <c r="J154" s="1"/>
      <c r="K154" s="1"/>
      <c r="L154" s="1"/>
      <c r="M154" s="1"/>
      <c r="N154" s="1"/>
      <c r="O154" s="1"/>
      <c r="P154" s="1"/>
      <c r="Q154" s="7"/>
      <c r="R154" s="13" t="str">
        <f t="shared" si="49"/>
        <v/>
      </c>
      <c r="S154" s="13" t="str">
        <f t="shared" si="50"/>
        <v/>
      </c>
      <c r="T154" s="14" t="str">
        <f t="shared" si="51"/>
        <v/>
      </c>
      <c r="U154" s="14">
        <v>1000</v>
      </c>
      <c r="V154" s="14">
        <v>1000</v>
      </c>
      <c r="W154" s="8">
        <f t="shared" si="52"/>
        <v>7.6999999999999999E-2</v>
      </c>
      <c r="X154" s="13" t="str">
        <f t="shared" si="53"/>
        <v/>
      </c>
      <c r="Y154" s="13" t="str">
        <f t="shared" si="54"/>
        <v/>
      </c>
      <c r="Z154" s="15" t="str">
        <f t="shared" si="55"/>
        <v/>
      </c>
      <c r="AA154" s="15">
        <f t="shared" si="56"/>
        <v>900</v>
      </c>
      <c r="AB154" s="15" t="str">
        <f t="shared" si="57"/>
        <v/>
      </c>
      <c r="AC154" s="13" t="str">
        <f t="shared" si="58"/>
        <v/>
      </c>
      <c r="AD154" s="8" t="str">
        <f t="shared" si="59"/>
        <v/>
      </c>
      <c r="AE154" s="1"/>
      <c r="AF154" s="1"/>
      <c r="AG154" s="1"/>
    </row>
    <row r="155" spans="1:33" ht="15">
      <c r="A155" s="1">
        <f t="shared" si="48"/>
        <v>152</v>
      </c>
      <c r="B155" s="1"/>
      <c r="C155" s="1"/>
      <c r="D155" s="1"/>
      <c r="E155" s="1"/>
      <c r="F155" s="6"/>
      <c r="G155" s="5"/>
      <c r="H155" s="1"/>
      <c r="I155" s="1"/>
      <c r="J155" s="1"/>
      <c r="K155" s="1"/>
      <c r="L155" s="1"/>
      <c r="M155" s="1"/>
      <c r="N155" s="1"/>
      <c r="O155" s="1"/>
      <c r="P155" s="1"/>
      <c r="Q155" s="7"/>
      <c r="R155" s="13" t="str">
        <f t="shared" si="49"/>
        <v/>
      </c>
      <c r="S155" s="13" t="str">
        <f t="shared" si="50"/>
        <v/>
      </c>
      <c r="T155" s="14" t="str">
        <f t="shared" si="51"/>
        <v/>
      </c>
      <c r="U155" s="14">
        <v>1000</v>
      </c>
      <c r="V155" s="14">
        <v>1000</v>
      </c>
      <c r="W155" s="8">
        <f t="shared" si="52"/>
        <v>7.6999999999999999E-2</v>
      </c>
      <c r="X155" s="13" t="str">
        <f t="shared" si="53"/>
        <v/>
      </c>
      <c r="Y155" s="13" t="str">
        <f t="shared" si="54"/>
        <v/>
      </c>
      <c r="Z155" s="15" t="str">
        <f t="shared" si="55"/>
        <v/>
      </c>
      <c r="AA155" s="15">
        <f t="shared" si="56"/>
        <v>900</v>
      </c>
      <c r="AB155" s="15" t="str">
        <f t="shared" si="57"/>
        <v/>
      </c>
      <c r="AC155" s="13" t="str">
        <f t="shared" si="58"/>
        <v/>
      </c>
      <c r="AD155" s="8" t="str">
        <f t="shared" si="59"/>
        <v/>
      </c>
      <c r="AE155" s="1"/>
      <c r="AF155" s="1"/>
      <c r="AG155" s="1"/>
    </row>
    <row r="156" spans="1:33" ht="15">
      <c r="A156" s="1">
        <f t="shared" si="48"/>
        <v>153</v>
      </c>
      <c r="B156" s="1"/>
      <c r="C156" s="1"/>
      <c r="D156" s="1"/>
      <c r="E156" s="1"/>
      <c r="F156" s="6"/>
      <c r="G156" s="5"/>
      <c r="H156" s="1"/>
      <c r="I156" s="1"/>
      <c r="J156" s="1"/>
      <c r="K156" s="1"/>
      <c r="L156" s="1"/>
      <c r="M156" s="1"/>
      <c r="N156" s="1"/>
      <c r="O156" s="1"/>
      <c r="P156" s="1"/>
      <c r="Q156" s="7"/>
      <c r="R156" s="13" t="str">
        <f t="shared" si="49"/>
        <v/>
      </c>
      <c r="S156" s="13" t="str">
        <f t="shared" si="50"/>
        <v/>
      </c>
      <c r="T156" s="14" t="str">
        <f t="shared" si="51"/>
        <v/>
      </c>
      <c r="U156" s="14">
        <v>1000</v>
      </c>
      <c r="V156" s="14">
        <v>1000</v>
      </c>
      <c r="W156" s="8">
        <f t="shared" si="52"/>
        <v>7.6999999999999999E-2</v>
      </c>
      <c r="X156" s="13" t="str">
        <f t="shared" si="53"/>
        <v/>
      </c>
      <c r="Y156" s="13" t="str">
        <f t="shared" si="54"/>
        <v/>
      </c>
      <c r="Z156" s="15" t="str">
        <f t="shared" si="55"/>
        <v/>
      </c>
      <c r="AA156" s="15">
        <f t="shared" si="56"/>
        <v>900</v>
      </c>
      <c r="AB156" s="15" t="str">
        <f t="shared" si="57"/>
        <v/>
      </c>
      <c r="AC156" s="13" t="str">
        <f t="shared" si="58"/>
        <v/>
      </c>
      <c r="AD156" s="8" t="str">
        <f t="shared" si="59"/>
        <v/>
      </c>
      <c r="AE156" s="1"/>
      <c r="AF156" s="1"/>
      <c r="AG156" s="1"/>
    </row>
    <row r="157" spans="1:33" ht="15">
      <c r="A157" s="1">
        <f t="shared" si="48"/>
        <v>154</v>
      </c>
      <c r="B157" s="1"/>
      <c r="C157" s="1"/>
      <c r="D157" s="1"/>
      <c r="E157" s="1"/>
      <c r="F157" s="6"/>
      <c r="G157" s="5"/>
      <c r="H157" s="1"/>
      <c r="I157" s="1"/>
      <c r="J157" s="1"/>
      <c r="K157" s="1"/>
      <c r="L157" s="1"/>
      <c r="M157" s="1"/>
      <c r="N157" s="1"/>
      <c r="O157" s="1"/>
      <c r="P157" s="1"/>
      <c r="Q157" s="7"/>
      <c r="R157" s="13" t="str">
        <f t="shared" si="49"/>
        <v/>
      </c>
      <c r="S157" s="13" t="str">
        <f t="shared" si="50"/>
        <v/>
      </c>
      <c r="T157" s="14" t="str">
        <f t="shared" si="51"/>
        <v/>
      </c>
      <c r="U157" s="14">
        <v>1000</v>
      </c>
      <c r="V157" s="14">
        <v>1000</v>
      </c>
      <c r="W157" s="8">
        <f t="shared" si="52"/>
        <v>7.6999999999999999E-2</v>
      </c>
      <c r="X157" s="13" t="str">
        <f t="shared" si="53"/>
        <v/>
      </c>
      <c r="Y157" s="13" t="str">
        <f t="shared" si="54"/>
        <v/>
      </c>
      <c r="Z157" s="15" t="str">
        <f t="shared" si="55"/>
        <v/>
      </c>
      <c r="AA157" s="15">
        <f t="shared" si="56"/>
        <v>900</v>
      </c>
      <c r="AB157" s="15" t="str">
        <f t="shared" si="57"/>
        <v/>
      </c>
      <c r="AC157" s="13" t="str">
        <f t="shared" si="58"/>
        <v/>
      </c>
      <c r="AD157" s="8" t="str">
        <f t="shared" si="59"/>
        <v/>
      </c>
      <c r="AE157" s="1"/>
      <c r="AF157" s="1"/>
      <c r="AG157" s="1"/>
    </row>
    <row r="158" spans="1:33" ht="15">
      <c r="A158" s="1">
        <f t="shared" si="48"/>
        <v>155</v>
      </c>
      <c r="B158" s="1"/>
      <c r="C158" s="1"/>
      <c r="D158" s="1"/>
      <c r="E158" s="1"/>
      <c r="F158" s="6"/>
      <c r="G158" s="5"/>
      <c r="H158" s="1"/>
      <c r="I158" s="1"/>
      <c r="J158" s="1"/>
      <c r="K158" s="1"/>
      <c r="L158" s="1"/>
      <c r="M158" s="1"/>
      <c r="N158" s="1"/>
      <c r="O158" s="1"/>
      <c r="P158" s="1"/>
      <c r="Q158" s="7"/>
      <c r="R158" s="13" t="str">
        <f t="shared" si="49"/>
        <v/>
      </c>
      <c r="S158" s="13" t="str">
        <f t="shared" si="50"/>
        <v/>
      </c>
      <c r="T158" s="14" t="str">
        <f t="shared" si="51"/>
        <v/>
      </c>
      <c r="U158" s="14">
        <v>1000</v>
      </c>
      <c r="V158" s="14">
        <v>1000</v>
      </c>
      <c r="W158" s="8">
        <f t="shared" si="52"/>
        <v>7.6999999999999999E-2</v>
      </c>
      <c r="X158" s="13" t="str">
        <f t="shared" si="53"/>
        <v/>
      </c>
      <c r="Y158" s="13" t="str">
        <f t="shared" si="54"/>
        <v/>
      </c>
      <c r="Z158" s="15" t="str">
        <f t="shared" si="55"/>
        <v/>
      </c>
      <c r="AA158" s="15">
        <f t="shared" si="56"/>
        <v>900</v>
      </c>
      <c r="AB158" s="15" t="str">
        <f t="shared" si="57"/>
        <v/>
      </c>
      <c r="AC158" s="13" t="str">
        <f t="shared" si="58"/>
        <v/>
      </c>
      <c r="AD158" s="8" t="str">
        <f t="shared" si="59"/>
        <v/>
      </c>
      <c r="AE158" s="1"/>
      <c r="AF158" s="1"/>
      <c r="AG158" s="1"/>
    </row>
    <row r="159" spans="1:33" ht="15">
      <c r="A159" s="1">
        <f t="shared" si="48"/>
        <v>156</v>
      </c>
      <c r="B159" s="1"/>
      <c r="C159" s="1"/>
      <c r="D159" s="1"/>
      <c r="E159" s="1"/>
      <c r="F159" s="6"/>
      <c r="G159" s="5"/>
      <c r="H159" s="1"/>
      <c r="I159" s="1"/>
      <c r="J159" s="1"/>
      <c r="K159" s="1"/>
      <c r="L159" s="1"/>
      <c r="M159" s="1"/>
      <c r="N159" s="1"/>
      <c r="O159" s="1"/>
      <c r="P159" s="1"/>
      <c r="Q159" s="7"/>
      <c r="R159" s="13" t="str">
        <f t="shared" si="49"/>
        <v/>
      </c>
      <c r="S159" s="13" t="str">
        <f t="shared" si="50"/>
        <v/>
      </c>
      <c r="T159" s="14" t="str">
        <f t="shared" si="51"/>
        <v/>
      </c>
      <c r="U159" s="14">
        <v>1000</v>
      </c>
      <c r="V159" s="14">
        <v>1000</v>
      </c>
      <c r="W159" s="8">
        <f t="shared" si="52"/>
        <v>7.6999999999999999E-2</v>
      </c>
      <c r="X159" s="13" t="str">
        <f t="shared" si="53"/>
        <v/>
      </c>
      <c r="Y159" s="13" t="str">
        <f t="shared" si="54"/>
        <v/>
      </c>
      <c r="Z159" s="15" t="str">
        <f t="shared" si="55"/>
        <v/>
      </c>
      <c r="AA159" s="15">
        <f t="shared" si="56"/>
        <v>900</v>
      </c>
      <c r="AB159" s="15" t="str">
        <f t="shared" si="57"/>
        <v/>
      </c>
      <c r="AC159" s="13" t="str">
        <f t="shared" si="58"/>
        <v/>
      </c>
      <c r="AD159" s="8" t="str">
        <f t="shared" si="59"/>
        <v/>
      </c>
      <c r="AE159" s="1"/>
      <c r="AF159" s="1"/>
      <c r="AG159" s="1"/>
    </row>
    <row r="160" spans="1:33" ht="15">
      <c r="A160" s="1">
        <f t="shared" si="48"/>
        <v>157</v>
      </c>
      <c r="B160" s="1"/>
      <c r="C160" s="1"/>
      <c r="D160" s="1"/>
      <c r="E160" s="1"/>
      <c r="F160" s="6"/>
      <c r="G160" s="5"/>
      <c r="H160" s="1"/>
      <c r="I160" s="1"/>
      <c r="J160" s="1"/>
      <c r="K160" s="1"/>
      <c r="L160" s="1"/>
      <c r="M160" s="1"/>
      <c r="N160" s="1"/>
      <c r="O160" s="1"/>
      <c r="P160" s="1"/>
      <c r="Q160" s="7"/>
      <c r="R160" s="13" t="str">
        <f t="shared" si="49"/>
        <v/>
      </c>
      <c r="S160" s="13" t="str">
        <f t="shared" si="50"/>
        <v/>
      </c>
      <c r="T160" s="14" t="str">
        <f t="shared" si="51"/>
        <v/>
      </c>
      <c r="U160" s="14">
        <v>1000</v>
      </c>
      <c r="V160" s="14">
        <v>1000</v>
      </c>
      <c r="W160" s="8">
        <f t="shared" si="52"/>
        <v>7.6999999999999999E-2</v>
      </c>
      <c r="X160" s="13" t="str">
        <f t="shared" si="53"/>
        <v/>
      </c>
      <c r="Y160" s="13" t="str">
        <f t="shared" si="54"/>
        <v/>
      </c>
      <c r="Z160" s="15" t="str">
        <f t="shared" si="55"/>
        <v/>
      </c>
      <c r="AA160" s="15">
        <f t="shared" si="56"/>
        <v>900</v>
      </c>
      <c r="AB160" s="15" t="str">
        <f t="shared" si="57"/>
        <v/>
      </c>
      <c r="AC160" s="13" t="str">
        <f t="shared" si="58"/>
        <v/>
      </c>
      <c r="AD160" s="8" t="str">
        <f t="shared" si="59"/>
        <v/>
      </c>
      <c r="AE160" s="1"/>
      <c r="AF160" s="1"/>
      <c r="AG160" s="1"/>
    </row>
    <row r="161" spans="1:33" ht="15">
      <c r="A161" s="1">
        <f t="shared" si="48"/>
        <v>158</v>
      </c>
      <c r="B161" s="1"/>
      <c r="C161" s="1"/>
      <c r="D161" s="1"/>
      <c r="E161" s="1"/>
      <c r="F161" s="6"/>
      <c r="G161" s="5"/>
      <c r="H161" s="1"/>
      <c r="I161" s="1"/>
      <c r="J161" s="1"/>
      <c r="K161" s="1"/>
      <c r="L161" s="1"/>
      <c r="M161" s="1"/>
      <c r="N161" s="1"/>
      <c r="O161" s="1"/>
      <c r="P161" s="1"/>
      <c r="Q161" s="7"/>
      <c r="R161" s="13" t="str">
        <f t="shared" si="49"/>
        <v/>
      </c>
      <c r="S161" s="13" t="str">
        <f t="shared" si="50"/>
        <v/>
      </c>
      <c r="T161" s="14" t="str">
        <f t="shared" si="51"/>
        <v/>
      </c>
      <c r="U161" s="14">
        <v>1000</v>
      </c>
      <c r="V161" s="14">
        <v>1000</v>
      </c>
      <c r="W161" s="8">
        <f t="shared" si="52"/>
        <v>7.6999999999999999E-2</v>
      </c>
      <c r="X161" s="13" t="str">
        <f t="shared" si="53"/>
        <v/>
      </c>
      <c r="Y161" s="13" t="str">
        <f t="shared" si="54"/>
        <v/>
      </c>
      <c r="Z161" s="15" t="str">
        <f t="shared" si="55"/>
        <v/>
      </c>
      <c r="AA161" s="15">
        <f t="shared" si="56"/>
        <v>900</v>
      </c>
      <c r="AB161" s="15" t="str">
        <f t="shared" si="57"/>
        <v/>
      </c>
      <c r="AC161" s="13" t="str">
        <f t="shared" si="58"/>
        <v/>
      </c>
      <c r="AD161" s="8" t="str">
        <f t="shared" si="59"/>
        <v/>
      </c>
      <c r="AE161" s="1"/>
      <c r="AF161" s="1"/>
      <c r="AG161" s="1"/>
    </row>
    <row r="162" spans="1:33" ht="15">
      <c r="A162" s="1">
        <f t="shared" si="48"/>
        <v>159</v>
      </c>
      <c r="B162" s="1"/>
      <c r="C162" s="1"/>
      <c r="D162" s="1"/>
      <c r="E162" s="1"/>
      <c r="F162" s="6"/>
      <c r="G162" s="5"/>
      <c r="H162" s="1"/>
      <c r="I162" s="1"/>
      <c r="J162" s="1"/>
      <c r="K162" s="1"/>
      <c r="L162" s="1"/>
      <c r="M162" s="1"/>
      <c r="N162" s="1"/>
      <c r="O162" s="1"/>
      <c r="P162" s="1"/>
      <c r="Q162" s="7"/>
      <c r="R162" s="13" t="str">
        <f t="shared" si="49"/>
        <v/>
      </c>
      <c r="S162" s="13" t="str">
        <f t="shared" si="50"/>
        <v/>
      </c>
      <c r="T162" s="14" t="str">
        <f t="shared" si="51"/>
        <v/>
      </c>
      <c r="U162" s="14">
        <v>1000</v>
      </c>
      <c r="V162" s="14">
        <v>1000</v>
      </c>
      <c r="W162" s="8">
        <f t="shared" si="52"/>
        <v>7.6999999999999999E-2</v>
      </c>
      <c r="X162" s="13" t="str">
        <f t="shared" si="53"/>
        <v/>
      </c>
      <c r="Y162" s="13" t="str">
        <f t="shared" si="54"/>
        <v/>
      </c>
      <c r="Z162" s="15" t="str">
        <f t="shared" si="55"/>
        <v/>
      </c>
      <c r="AA162" s="15">
        <f t="shared" si="56"/>
        <v>900</v>
      </c>
      <c r="AB162" s="15" t="str">
        <f t="shared" si="57"/>
        <v/>
      </c>
      <c r="AC162" s="13" t="str">
        <f t="shared" si="58"/>
        <v/>
      </c>
      <c r="AD162" s="8" t="str">
        <f t="shared" si="59"/>
        <v/>
      </c>
      <c r="AE162" s="1"/>
      <c r="AF162" s="1"/>
      <c r="AG162" s="1"/>
    </row>
    <row r="163" spans="1:33" ht="15">
      <c r="A163" s="1">
        <f t="shared" si="48"/>
        <v>160</v>
      </c>
      <c r="B163" s="1"/>
      <c r="C163" s="1"/>
      <c r="D163" s="1"/>
      <c r="E163" s="1"/>
      <c r="F163" s="6"/>
      <c r="G163" s="5"/>
      <c r="H163" s="1"/>
      <c r="I163" s="1"/>
      <c r="J163" s="1"/>
      <c r="K163" s="1"/>
      <c r="L163" s="1"/>
      <c r="M163" s="1"/>
      <c r="N163" s="1"/>
      <c r="O163" s="1"/>
      <c r="P163" s="1"/>
      <c r="Q163" s="7"/>
      <c r="R163" s="13" t="str">
        <f t="shared" si="49"/>
        <v/>
      </c>
      <c r="S163" s="13" t="str">
        <f t="shared" si="50"/>
        <v/>
      </c>
      <c r="T163" s="14" t="str">
        <f t="shared" si="51"/>
        <v/>
      </c>
      <c r="U163" s="14">
        <v>1000</v>
      </c>
      <c r="V163" s="14">
        <v>1000</v>
      </c>
      <c r="W163" s="8">
        <f t="shared" si="52"/>
        <v>7.6999999999999999E-2</v>
      </c>
      <c r="X163" s="13" t="str">
        <f t="shared" si="53"/>
        <v/>
      </c>
      <c r="Y163" s="13" t="str">
        <f t="shared" si="54"/>
        <v/>
      </c>
      <c r="Z163" s="15" t="str">
        <f t="shared" si="55"/>
        <v/>
      </c>
      <c r="AA163" s="15">
        <f t="shared" si="56"/>
        <v>900</v>
      </c>
      <c r="AB163" s="15" t="str">
        <f t="shared" si="57"/>
        <v/>
      </c>
      <c r="AC163" s="13" t="str">
        <f t="shared" si="58"/>
        <v/>
      </c>
      <c r="AD163" s="8" t="str">
        <f t="shared" si="59"/>
        <v/>
      </c>
      <c r="AE163" s="1"/>
      <c r="AF163" s="1"/>
      <c r="AG163" s="1"/>
    </row>
    <row r="164" spans="1:33" ht="15">
      <c r="A164" s="1">
        <f t="shared" ref="A164:A195" si="60">ROW()-3</f>
        <v>161</v>
      </c>
      <c r="B164" s="1"/>
      <c r="C164" s="1"/>
      <c r="D164" s="1"/>
      <c r="E164" s="1"/>
      <c r="F164" s="6"/>
      <c r="G164" s="5"/>
      <c r="H164" s="1"/>
      <c r="I164" s="1"/>
      <c r="J164" s="1"/>
      <c r="K164" s="1"/>
      <c r="L164" s="1"/>
      <c r="M164" s="1"/>
      <c r="N164" s="1"/>
      <c r="O164" s="1"/>
      <c r="P164" s="1"/>
      <c r="Q164" s="7"/>
      <c r="R164" s="13" t="str">
        <f t="shared" ref="R164:R195" si="61">IF(OR(F164="",Q164=""),"",IF(OR(G164="USD",G164="EUR",G164="GBP"),F164*Q164,F164))</f>
        <v/>
      </c>
      <c r="S164" s="13" t="str">
        <f t="shared" ref="S164:S195" si="62">IF(Q164="","",IF(OR(J164="イギリス",J164="アメリカ",J164="イタリア",J164="フランス",J164="ドイツ",J164="スペイン",J164="オランダ",J164="ベルギー",J164="ポルトガル",J164="オーストリア",ISNUMBER(SEARCH("MyUS",K164))),ROUND(R164*0.08,0),0))</f>
        <v/>
      </c>
      <c r="T164" s="14" t="str">
        <f t="shared" ref="T164:T195" si="63">IF(Q164="","",IF(OR(ISNUMBER(SEARCH("コート",C164)),ISNUMBER(SEARCH("Coat",C164)),ISNUMBER(SEARCH("coat",C164))),15000,IF(OR(ISNUMBER(SEARCH("靴",C164)),ISNUMBER(SEARCH("スニーカー",C164)),ISNUMBER(SEARCH("Sneaker",C164)),ISNUMBER(SEARCH("sneaker",C164)),ISNUMBER(SEARCH("Shoes",C164)),ISNUMBER(SEARCH("shoes",C164)),ISNUMBER(SEARCH("Boot",C164)),ISNUMBER(SEARCH("boot",C164)),ISNUMBER(SEARCH("バッグ",C164)),ISNUMBER(SEARCH("Bag",C164)),ISNUMBER(SEARCH("bag",C164)),ISNUMBER(SEARCH("Tote",C164)),ISNUMBER(SEARCH("tote",C164)),ISNUMBER(SEARCH("Shoulder",C164)),ISNUMBER(SEARCH("shoulder",C164))),12000,7200)))</f>
        <v/>
      </c>
      <c r="U164" s="14">
        <v>1000</v>
      </c>
      <c r="V164" s="14">
        <v>1000</v>
      </c>
      <c r="W164" s="8">
        <f t="shared" ref="W164:W195" si="64">IF(A164="","",0.077)</f>
        <v>7.6999999999999999E-2</v>
      </c>
      <c r="X164" s="13" t="str">
        <f t="shared" ref="X164:X195" si="65">IF($Q164="","",ROUND(Y164*10%,0))</f>
        <v/>
      </c>
      <c r="Y164" s="13" t="str">
        <f t="shared" ref="Y164:Y195" si="66">IF(R164="","",R164+S164+T164+U164+V164)</f>
        <v/>
      </c>
      <c r="Z164" s="15" t="str">
        <f t="shared" ref="Z164:Z195" si="67">IF($Q164="","",IF(1-W164&lt;=0,"",ROUNDUP((Y164+X164)/(1-W164),0))-72)</f>
        <v/>
      </c>
      <c r="AA164" s="15">
        <f t="shared" ref="AA164:AA195" si="68">IF(A164="","",900)</f>
        <v>900</v>
      </c>
      <c r="AB164" s="15" t="str">
        <f t="shared" ref="AB164:AB195" si="69">IF(Z164="","",Z164+AA164)</f>
        <v/>
      </c>
      <c r="AC164" s="13" t="str">
        <f t="shared" ref="AC164:AC195" si="70">IF(Z164="","",Z164*(1-W164)-Y164)</f>
        <v/>
      </c>
      <c r="AD164" s="8" t="str">
        <f t="shared" ref="AD164:AD195" si="71">IF(AB164="","",AC164/AB164)</f>
        <v/>
      </c>
      <c r="AE164" s="1"/>
      <c r="AF164" s="1"/>
      <c r="AG164" s="1"/>
    </row>
    <row r="165" spans="1:33" ht="15">
      <c r="A165" s="1">
        <f t="shared" si="60"/>
        <v>162</v>
      </c>
      <c r="B165" s="1"/>
      <c r="C165" s="1"/>
      <c r="D165" s="1"/>
      <c r="E165" s="1"/>
      <c r="F165" s="6"/>
      <c r="G165" s="5"/>
      <c r="H165" s="1"/>
      <c r="I165" s="1"/>
      <c r="J165" s="1"/>
      <c r="K165" s="1"/>
      <c r="L165" s="1"/>
      <c r="M165" s="1"/>
      <c r="N165" s="1"/>
      <c r="O165" s="1"/>
      <c r="P165" s="1"/>
      <c r="Q165" s="7"/>
      <c r="R165" s="13" t="str">
        <f t="shared" si="61"/>
        <v/>
      </c>
      <c r="S165" s="13" t="str">
        <f t="shared" si="62"/>
        <v/>
      </c>
      <c r="T165" s="14" t="str">
        <f t="shared" si="63"/>
        <v/>
      </c>
      <c r="U165" s="14">
        <v>1000</v>
      </c>
      <c r="V165" s="14">
        <v>1000</v>
      </c>
      <c r="W165" s="8">
        <f t="shared" si="64"/>
        <v>7.6999999999999999E-2</v>
      </c>
      <c r="X165" s="13" t="str">
        <f t="shared" si="65"/>
        <v/>
      </c>
      <c r="Y165" s="13" t="str">
        <f t="shared" si="66"/>
        <v/>
      </c>
      <c r="Z165" s="15" t="str">
        <f t="shared" si="67"/>
        <v/>
      </c>
      <c r="AA165" s="15">
        <f t="shared" si="68"/>
        <v>900</v>
      </c>
      <c r="AB165" s="15" t="str">
        <f t="shared" si="69"/>
        <v/>
      </c>
      <c r="AC165" s="13" t="str">
        <f t="shared" si="70"/>
        <v/>
      </c>
      <c r="AD165" s="8" t="str">
        <f t="shared" si="71"/>
        <v/>
      </c>
      <c r="AE165" s="1"/>
      <c r="AF165" s="1"/>
      <c r="AG165" s="1"/>
    </row>
    <row r="166" spans="1:33" ht="15">
      <c r="A166" s="1">
        <f t="shared" si="60"/>
        <v>163</v>
      </c>
      <c r="B166" s="1"/>
      <c r="C166" s="1"/>
      <c r="D166" s="1"/>
      <c r="E166" s="1"/>
      <c r="F166" s="6"/>
      <c r="G166" s="5"/>
      <c r="H166" s="1"/>
      <c r="I166" s="1"/>
      <c r="J166" s="1"/>
      <c r="K166" s="1"/>
      <c r="L166" s="1"/>
      <c r="M166" s="1"/>
      <c r="N166" s="1"/>
      <c r="O166" s="1"/>
      <c r="P166" s="1"/>
      <c r="Q166" s="7"/>
      <c r="R166" s="13" t="str">
        <f t="shared" si="61"/>
        <v/>
      </c>
      <c r="S166" s="13" t="str">
        <f t="shared" si="62"/>
        <v/>
      </c>
      <c r="T166" s="14" t="str">
        <f t="shared" si="63"/>
        <v/>
      </c>
      <c r="U166" s="14">
        <v>1000</v>
      </c>
      <c r="V166" s="14">
        <v>1000</v>
      </c>
      <c r="W166" s="8">
        <f t="shared" si="64"/>
        <v>7.6999999999999999E-2</v>
      </c>
      <c r="X166" s="13" t="str">
        <f t="shared" si="65"/>
        <v/>
      </c>
      <c r="Y166" s="13" t="str">
        <f t="shared" si="66"/>
        <v/>
      </c>
      <c r="Z166" s="15" t="str">
        <f t="shared" si="67"/>
        <v/>
      </c>
      <c r="AA166" s="15">
        <f t="shared" si="68"/>
        <v>900</v>
      </c>
      <c r="AB166" s="15" t="str">
        <f t="shared" si="69"/>
        <v/>
      </c>
      <c r="AC166" s="13" t="str">
        <f t="shared" si="70"/>
        <v/>
      </c>
      <c r="AD166" s="8" t="str">
        <f t="shared" si="71"/>
        <v/>
      </c>
      <c r="AE166" s="1"/>
      <c r="AF166" s="1"/>
      <c r="AG166" s="1"/>
    </row>
    <row r="167" spans="1:33" ht="15">
      <c r="A167" s="1">
        <f t="shared" si="60"/>
        <v>164</v>
      </c>
      <c r="B167" s="1"/>
      <c r="C167" s="1"/>
      <c r="D167" s="1"/>
      <c r="E167" s="1"/>
      <c r="F167" s="6"/>
      <c r="G167" s="5"/>
      <c r="H167" s="1"/>
      <c r="I167" s="1"/>
      <c r="J167" s="1"/>
      <c r="K167" s="1"/>
      <c r="L167" s="1"/>
      <c r="M167" s="1"/>
      <c r="N167" s="1"/>
      <c r="O167" s="1"/>
      <c r="P167" s="1"/>
      <c r="Q167" s="7"/>
      <c r="R167" s="13" t="str">
        <f t="shared" si="61"/>
        <v/>
      </c>
      <c r="S167" s="13" t="str">
        <f t="shared" si="62"/>
        <v/>
      </c>
      <c r="T167" s="14" t="str">
        <f t="shared" si="63"/>
        <v/>
      </c>
      <c r="U167" s="14">
        <v>1000</v>
      </c>
      <c r="V167" s="14">
        <v>1000</v>
      </c>
      <c r="W167" s="8">
        <f t="shared" si="64"/>
        <v>7.6999999999999999E-2</v>
      </c>
      <c r="X167" s="13" t="str">
        <f t="shared" si="65"/>
        <v/>
      </c>
      <c r="Y167" s="13" t="str">
        <f t="shared" si="66"/>
        <v/>
      </c>
      <c r="Z167" s="15" t="str">
        <f t="shared" si="67"/>
        <v/>
      </c>
      <c r="AA167" s="15">
        <f t="shared" si="68"/>
        <v>900</v>
      </c>
      <c r="AB167" s="15" t="str">
        <f t="shared" si="69"/>
        <v/>
      </c>
      <c r="AC167" s="13" t="str">
        <f t="shared" si="70"/>
        <v/>
      </c>
      <c r="AD167" s="8" t="str">
        <f t="shared" si="71"/>
        <v/>
      </c>
      <c r="AE167" s="1"/>
      <c r="AF167" s="1"/>
      <c r="AG167" s="1"/>
    </row>
    <row r="168" spans="1:33" ht="15">
      <c r="A168" s="1">
        <f t="shared" si="60"/>
        <v>165</v>
      </c>
      <c r="B168" s="1"/>
      <c r="C168" s="1"/>
      <c r="D168" s="1"/>
      <c r="E168" s="1"/>
      <c r="F168" s="6"/>
      <c r="G168" s="5"/>
      <c r="H168" s="1"/>
      <c r="I168" s="1"/>
      <c r="J168" s="1"/>
      <c r="K168" s="1"/>
      <c r="L168" s="1"/>
      <c r="M168" s="1"/>
      <c r="N168" s="1"/>
      <c r="O168" s="1"/>
      <c r="P168" s="1"/>
      <c r="Q168" s="7"/>
      <c r="R168" s="13" t="str">
        <f t="shared" si="61"/>
        <v/>
      </c>
      <c r="S168" s="13" t="str">
        <f t="shared" si="62"/>
        <v/>
      </c>
      <c r="T168" s="14" t="str">
        <f t="shared" si="63"/>
        <v/>
      </c>
      <c r="U168" s="14">
        <v>1000</v>
      </c>
      <c r="V168" s="14">
        <v>1000</v>
      </c>
      <c r="W168" s="8">
        <f t="shared" si="64"/>
        <v>7.6999999999999999E-2</v>
      </c>
      <c r="X168" s="13" t="str">
        <f t="shared" si="65"/>
        <v/>
      </c>
      <c r="Y168" s="13" t="str">
        <f t="shared" si="66"/>
        <v/>
      </c>
      <c r="Z168" s="15" t="str">
        <f t="shared" si="67"/>
        <v/>
      </c>
      <c r="AA168" s="15">
        <f t="shared" si="68"/>
        <v>900</v>
      </c>
      <c r="AB168" s="15" t="str">
        <f t="shared" si="69"/>
        <v/>
      </c>
      <c r="AC168" s="13" t="str">
        <f t="shared" si="70"/>
        <v/>
      </c>
      <c r="AD168" s="8" t="str">
        <f t="shared" si="71"/>
        <v/>
      </c>
      <c r="AE168" s="1"/>
      <c r="AF168" s="1"/>
      <c r="AG168" s="1"/>
    </row>
    <row r="169" spans="1:33" ht="15">
      <c r="A169" s="1">
        <f t="shared" si="60"/>
        <v>166</v>
      </c>
      <c r="B169" s="1"/>
      <c r="C169" s="1"/>
      <c r="D169" s="1"/>
      <c r="E169" s="1"/>
      <c r="F169" s="6"/>
      <c r="G169" s="5"/>
      <c r="H169" s="1"/>
      <c r="I169" s="1"/>
      <c r="J169" s="1"/>
      <c r="K169" s="1"/>
      <c r="L169" s="1"/>
      <c r="M169" s="1"/>
      <c r="N169" s="1"/>
      <c r="O169" s="1"/>
      <c r="P169" s="1"/>
      <c r="Q169" s="7"/>
      <c r="R169" s="13" t="str">
        <f t="shared" si="61"/>
        <v/>
      </c>
      <c r="S169" s="13" t="str">
        <f t="shared" si="62"/>
        <v/>
      </c>
      <c r="T169" s="14" t="str">
        <f t="shared" si="63"/>
        <v/>
      </c>
      <c r="U169" s="14">
        <v>1000</v>
      </c>
      <c r="V169" s="14">
        <v>1000</v>
      </c>
      <c r="W169" s="8">
        <f t="shared" si="64"/>
        <v>7.6999999999999999E-2</v>
      </c>
      <c r="X169" s="13" t="str">
        <f t="shared" si="65"/>
        <v/>
      </c>
      <c r="Y169" s="13" t="str">
        <f t="shared" si="66"/>
        <v/>
      </c>
      <c r="Z169" s="15" t="str">
        <f t="shared" si="67"/>
        <v/>
      </c>
      <c r="AA169" s="15">
        <f t="shared" si="68"/>
        <v>900</v>
      </c>
      <c r="AB169" s="15" t="str">
        <f t="shared" si="69"/>
        <v/>
      </c>
      <c r="AC169" s="13" t="str">
        <f t="shared" si="70"/>
        <v/>
      </c>
      <c r="AD169" s="8" t="str">
        <f t="shared" si="71"/>
        <v/>
      </c>
      <c r="AE169" s="1"/>
      <c r="AF169" s="1"/>
      <c r="AG169" s="1"/>
    </row>
    <row r="170" spans="1:33" ht="15">
      <c r="A170" s="1">
        <f t="shared" si="60"/>
        <v>167</v>
      </c>
      <c r="B170" s="1"/>
      <c r="C170" s="1"/>
      <c r="D170" s="1"/>
      <c r="E170" s="1"/>
      <c r="F170" s="6"/>
      <c r="G170" s="5"/>
      <c r="H170" s="1"/>
      <c r="I170" s="1"/>
      <c r="J170" s="1"/>
      <c r="K170" s="1"/>
      <c r="L170" s="1"/>
      <c r="M170" s="1"/>
      <c r="N170" s="1"/>
      <c r="O170" s="1"/>
      <c r="P170" s="1"/>
      <c r="Q170" s="7"/>
      <c r="R170" s="13" t="str">
        <f t="shared" si="61"/>
        <v/>
      </c>
      <c r="S170" s="13" t="str">
        <f t="shared" si="62"/>
        <v/>
      </c>
      <c r="T170" s="14" t="str">
        <f t="shared" si="63"/>
        <v/>
      </c>
      <c r="U170" s="14">
        <v>1000</v>
      </c>
      <c r="V170" s="14">
        <v>1000</v>
      </c>
      <c r="W170" s="8">
        <f t="shared" si="64"/>
        <v>7.6999999999999999E-2</v>
      </c>
      <c r="X170" s="13" t="str">
        <f t="shared" si="65"/>
        <v/>
      </c>
      <c r="Y170" s="13" t="str">
        <f t="shared" si="66"/>
        <v/>
      </c>
      <c r="Z170" s="15" t="str">
        <f t="shared" si="67"/>
        <v/>
      </c>
      <c r="AA170" s="15">
        <f t="shared" si="68"/>
        <v>900</v>
      </c>
      <c r="AB170" s="15" t="str">
        <f t="shared" si="69"/>
        <v/>
      </c>
      <c r="AC170" s="13" t="str">
        <f t="shared" si="70"/>
        <v/>
      </c>
      <c r="AD170" s="8" t="str">
        <f t="shared" si="71"/>
        <v/>
      </c>
      <c r="AE170" s="1"/>
      <c r="AF170" s="1"/>
      <c r="AG170" s="1"/>
    </row>
    <row r="171" spans="1:33" ht="15">
      <c r="A171" s="1">
        <f t="shared" si="60"/>
        <v>168</v>
      </c>
      <c r="B171" s="1"/>
      <c r="C171" s="1"/>
      <c r="D171" s="1"/>
      <c r="E171" s="1"/>
      <c r="F171" s="6"/>
      <c r="G171" s="5"/>
      <c r="H171" s="1"/>
      <c r="I171" s="1"/>
      <c r="J171" s="1"/>
      <c r="K171" s="1"/>
      <c r="L171" s="1"/>
      <c r="M171" s="1"/>
      <c r="N171" s="1"/>
      <c r="O171" s="1"/>
      <c r="P171" s="1"/>
      <c r="Q171" s="7"/>
      <c r="R171" s="13" t="str">
        <f t="shared" si="61"/>
        <v/>
      </c>
      <c r="S171" s="13" t="str">
        <f t="shared" si="62"/>
        <v/>
      </c>
      <c r="T171" s="14" t="str">
        <f t="shared" si="63"/>
        <v/>
      </c>
      <c r="U171" s="14">
        <v>1000</v>
      </c>
      <c r="V171" s="14">
        <v>1000</v>
      </c>
      <c r="W171" s="8">
        <f t="shared" si="64"/>
        <v>7.6999999999999999E-2</v>
      </c>
      <c r="X171" s="13" t="str">
        <f t="shared" si="65"/>
        <v/>
      </c>
      <c r="Y171" s="13" t="str">
        <f t="shared" si="66"/>
        <v/>
      </c>
      <c r="Z171" s="15" t="str">
        <f t="shared" si="67"/>
        <v/>
      </c>
      <c r="AA171" s="15">
        <f t="shared" si="68"/>
        <v>900</v>
      </c>
      <c r="AB171" s="15" t="str">
        <f t="shared" si="69"/>
        <v/>
      </c>
      <c r="AC171" s="13" t="str">
        <f t="shared" si="70"/>
        <v/>
      </c>
      <c r="AD171" s="8" t="str">
        <f t="shared" si="71"/>
        <v/>
      </c>
      <c r="AE171" s="1"/>
      <c r="AF171" s="1"/>
      <c r="AG171" s="1"/>
    </row>
    <row r="172" spans="1:33" ht="15">
      <c r="A172" s="1">
        <f t="shared" si="60"/>
        <v>169</v>
      </c>
      <c r="B172" s="1"/>
      <c r="C172" s="1"/>
      <c r="D172" s="1"/>
      <c r="E172" s="1"/>
      <c r="F172" s="6"/>
      <c r="G172" s="5"/>
      <c r="H172" s="1"/>
      <c r="I172" s="1"/>
      <c r="J172" s="1"/>
      <c r="K172" s="1"/>
      <c r="L172" s="1"/>
      <c r="M172" s="1"/>
      <c r="N172" s="1"/>
      <c r="O172" s="1"/>
      <c r="P172" s="1"/>
      <c r="Q172" s="7"/>
      <c r="R172" s="13" t="str">
        <f t="shared" si="61"/>
        <v/>
      </c>
      <c r="S172" s="13" t="str">
        <f t="shared" si="62"/>
        <v/>
      </c>
      <c r="T172" s="14" t="str">
        <f t="shared" si="63"/>
        <v/>
      </c>
      <c r="U172" s="14">
        <v>1000</v>
      </c>
      <c r="V172" s="14">
        <v>1000</v>
      </c>
      <c r="W172" s="8">
        <f t="shared" si="64"/>
        <v>7.6999999999999999E-2</v>
      </c>
      <c r="X172" s="13" t="str">
        <f t="shared" si="65"/>
        <v/>
      </c>
      <c r="Y172" s="13" t="str">
        <f t="shared" si="66"/>
        <v/>
      </c>
      <c r="Z172" s="15" t="str">
        <f t="shared" si="67"/>
        <v/>
      </c>
      <c r="AA172" s="15">
        <f t="shared" si="68"/>
        <v>900</v>
      </c>
      <c r="AB172" s="15" t="str">
        <f t="shared" si="69"/>
        <v/>
      </c>
      <c r="AC172" s="13" t="str">
        <f t="shared" si="70"/>
        <v/>
      </c>
      <c r="AD172" s="8" t="str">
        <f t="shared" si="71"/>
        <v/>
      </c>
      <c r="AE172" s="1"/>
      <c r="AF172" s="1"/>
      <c r="AG172" s="1"/>
    </row>
    <row r="173" spans="1:33" ht="15">
      <c r="A173" s="1">
        <f t="shared" si="60"/>
        <v>170</v>
      </c>
      <c r="B173" s="1"/>
      <c r="C173" s="1"/>
      <c r="D173" s="1"/>
      <c r="E173" s="1"/>
      <c r="F173" s="6"/>
      <c r="G173" s="5"/>
      <c r="H173" s="1"/>
      <c r="I173" s="1"/>
      <c r="J173" s="1"/>
      <c r="K173" s="1"/>
      <c r="L173" s="1"/>
      <c r="M173" s="1"/>
      <c r="N173" s="1"/>
      <c r="O173" s="1"/>
      <c r="P173" s="1"/>
      <c r="Q173" s="7"/>
      <c r="R173" s="13" t="str">
        <f t="shared" si="61"/>
        <v/>
      </c>
      <c r="S173" s="13" t="str">
        <f t="shared" si="62"/>
        <v/>
      </c>
      <c r="T173" s="14" t="str">
        <f t="shared" si="63"/>
        <v/>
      </c>
      <c r="U173" s="14">
        <v>1000</v>
      </c>
      <c r="V173" s="14">
        <v>1000</v>
      </c>
      <c r="W173" s="8">
        <f t="shared" si="64"/>
        <v>7.6999999999999999E-2</v>
      </c>
      <c r="X173" s="13" t="str">
        <f t="shared" si="65"/>
        <v/>
      </c>
      <c r="Y173" s="13" t="str">
        <f t="shared" si="66"/>
        <v/>
      </c>
      <c r="Z173" s="15" t="str">
        <f t="shared" si="67"/>
        <v/>
      </c>
      <c r="AA173" s="15">
        <f t="shared" si="68"/>
        <v>900</v>
      </c>
      <c r="AB173" s="15" t="str">
        <f t="shared" si="69"/>
        <v/>
      </c>
      <c r="AC173" s="13" t="str">
        <f t="shared" si="70"/>
        <v/>
      </c>
      <c r="AD173" s="8" t="str">
        <f t="shared" si="71"/>
        <v/>
      </c>
      <c r="AE173" s="1"/>
      <c r="AF173" s="1"/>
      <c r="AG173" s="1"/>
    </row>
    <row r="174" spans="1:33" ht="15">
      <c r="A174" s="1">
        <f t="shared" si="60"/>
        <v>171</v>
      </c>
      <c r="B174" s="1"/>
      <c r="C174" s="1"/>
      <c r="D174" s="1"/>
      <c r="E174" s="1"/>
      <c r="F174" s="6"/>
      <c r="G174" s="5"/>
      <c r="H174" s="1"/>
      <c r="I174" s="1"/>
      <c r="J174" s="1"/>
      <c r="K174" s="1"/>
      <c r="L174" s="1"/>
      <c r="M174" s="1"/>
      <c r="N174" s="1"/>
      <c r="O174" s="1"/>
      <c r="P174" s="1"/>
      <c r="Q174" s="7"/>
      <c r="R174" s="13" t="str">
        <f t="shared" si="61"/>
        <v/>
      </c>
      <c r="S174" s="13" t="str">
        <f t="shared" si="62"/>
        <v/>
      </c>
      <c r="T174" s="14" t="str">
        <f t="shared" si="63"/>
        <v/>
      </c>
      <c r="U174" s="14">
        <v>1000</v>
      </c>
      <c r="V174" s="14">
        <v>1000</v>
      </c>
      <c r="W174" s="8">
        <f t="shared" si="64"/>
        <v>7.6999999999999999E-2</v>
      </c>
      <c r="X174" s="13" t="str">
        <f t="shared" si="65"/>
        <v/>
      </c>
      <c r="Y174" s="13" t="str">
        <f t="shared" si="66"/>
        <v/>
      </c>
      <c r="Z174" s="15" t="str">
        <f t="shared" si="67"/>
        <v/>
      </c>
      <c r="AA174" s="15">
        <f t="shared" si="68"/>
        <v>900</v>
      </c>
      <c r="AB174" s="15" t="str">
        <f t="shared" si="69"/>
        <v/>
      </c>
      <c r="AC174" s="13" t="str">
        <f t="shared" si="70"/>
        <v/>
      </c>
      <c r="AD174" s="8" t="str">
        <f t="shared" si="71"/>
        <v/>
      </c>
      <c r="AE174" s="1"/>
      <c r="AF174" s="1"/>
      <c r="AG174" s="1"/>
    </row>
    <row r="175" spans="1:33" ht="15">
      <c r="A175" s="1">
        <f t="shared" si="60"/>
        <v>172</v>
      </c>
      <c r="B175" s="1"/>
      <c r="C175" s="1"/>
      <c r="D175" s="1"/>
      <c r="E175" s="1"/>
      <c r="F175" s="6"/>
      <c r="G175" s="5"/>
      <c r="H175" s="1"/>
      <c r="I175" s="1"/>
      <c r="J175" s="1"/>
      <c r="K175" s="1"/>
      <c r="L175" s="1"/>
      <c r="M175" s="1"/>
      <c r="N175" s="1"/>
      <c r="O175" s="1"/>
      <c r="P175" s="1"/>
      <c r="Q175" s="7"/>
      <c r="R175" s="13" t="str">
        <f t="shared" si="61"/>
        <v/>
      </c>
      <c r="S175" s="13" t="str">
        <f t="shared" si="62"/>
        <v/>
      </c>
      <c r="T175" s="14" t="str">
        <f t="shared" si="63"/>
        <v/>
      </c>
      <c r="U175" s="14">
        <v>1000</v>
      </c>
      <c r="V175" s="14">
        <v>1000</v>
      </c>
      <c r="W175" s="8">
        <f t="shared" si="64"/>
        <v>7.6999999999999999E-2</v>
      </c>
      <c r="X175" s="13" t="str">
        <f t="shared" si="65"/>
        <v/>
      </c>
      <c r="Y175" s="13" t="str">
        <f t="shared" si="66"/>
        <v/>
      </c>
      <c r="Z175" s="15" t="str">
        <f t="shared" si="67"/>
        <v/>
      </c>
      <c r="AA175" s="15">
        <f t="shared" si="68"/>
        <v>900</v>
      </c>
      <c r="AB175" s="15" t="str">
        <f t="shared" si="69"/>
        <v/>
      </c>
      <c r="AC175" s="13" t="str">
        <f t="shared" si="70"/>
        <v/>
      </c>
      <c r="AD175" s="8" t="str">
        <f t="shared" si="71"/>
        <v/>
      </c>
      <c r="AE175" s="1"/>
      <c r="AF175" s="1"/>
      <c r="AG175" s="1"/>
    </row>
    <row r="176" spans="1:33" ht="15">
      <c r="A176" s="1">
        <f t="shared" si="60"/>
        <v>173</v>
      </c>
      <c r="B176" s="1"/>
      <c r="C176" s="1"/>
      <c r="D176" s="1"/>
      <c r="E176" s="1"/>
      <c r="F176" s="6"/>
      <c r="G176" s="5"/>
      <c r="H176" s="1"/>
      <c r="I176" s="1"/>
      <c r="J176" s="1"/>
      <c r="K176" s="1"/>
      <c r="L176" s="1"/>
      <c r="M176" s="1"/>
      <c r="N176" s="1"/>
      <c r="O176" s="1"/>
      <c r="P176" s="1"/>
      <c r="Q176" s="7"/>
      <c r="R176" s="13" t="str">
        <f t="shared" si="61"/>
        <v/>
      </c>
      <c r="S176" s="13" t="str">
        <f t="shared" si="62"/>
        <v/>
      </c>
      <c r="T176" s="14" t="str">
        <f t="shared" si="63"/>
        <v/>
      </c>
      <c r="U176" s="14">
        <v>1000</v>
      </c>
      <c r="V176" s="14">
        <v>1000</v>
      </c>
      <c r="W176" s="8">
        <f t="shared" si="64"/>
        <v>7.6999999999999999E-2</v>
      </c>
      <c r="X176" s="13" t="str">
        <f t="shared" si="65"/>
        <v/>
      </c>
      <c r="Y176" s="13" t="str">
        <f t="shared" si="66"/>
        <v/>
      </c>
      <c r="Z176" s="15" t="str">
        <f t="shared" si="67"/>
        <v/>
      </c>
      <c r="AA176" s="15">
        <f t="shared" si="68"/>
        <v>900</v>
      </c>
      <c r="AB176" s="15" t="str">
        <f t="shared" si="69"/>
        <v/>
      </c>
      <c r="AC176" s="13" t="str">
        <f t="shared" si="70"/>
        <v/>
      </c>
      <c r="AD176" s="8" t="str">
        <f t="shared" si="71"/>
        <v/>
      </c>
      <c r="AE176" s="1"/>
      <c r="AF176" s="1"/>
      <c r="AG176" s="1"/>
    </row>
    <row r="177" spans="1:33" ht="15">
      <c r="A177" s="1">
        <f t="shared" si="60"/>
        <v>174</v>
      </c>
      <c r="B177" s="1"/>
      <c r="C177" s="1"/>
      <c r="D177" s="1"/>
      <c r="E177" s="1"/>
      <c r="F177" s="6"/>
      <c r="G177" s="5"/>
      <c r="H177" s="1"/>
      <c r="I177" s="1"/>
      <c r="J177" s="1"/>
      <c r="K177" s="1"/>
      <c r="L177" s="1"/>
      <c r="M177" s="1"/>
      <c r="N177" s="1"/>
      <c r="O177" s="1"/>
      <c r="P177" s="1"/>
      <c r="Q177" s="7"/>
      <c r="R177" s="13" t="str">
        <f t="shared" si="61"/>
        <v/>
      </c>
      <c r="S177" s="13" t="str">
        <f t="shared" si="62"/>
        <v/>
      </c>
      <c r="T177" s="14" t="str">
        <f t="shared" si="63"/>
        <v/>
      </c>
      <c r="U177" s="14">
        <v>1000</v>
      </c>
      <c r="V177" s="14">
        <v>1000</v>
      </c>
      <c r="W177" s="8">
        <f t="shared" si="64"/>
        <v>7.6999999999999999E-2</v>
      </c>
      <c r="X177" s="13" t="str">
        <f t="shared" si="65"/>
        <v/>
      </c>
      <c r="Y177" s="13" t="str">
        <f t="shared" si="66"/>
        <v/>
      </c>
      <c r="Z177" s="15" t="str">
        <f t="shared" si="67"/>
        <v/>
      </c>
      <c r="AA177" s="15">
        <f t="shared" si="68"/>
        <v>900</v>
      </c>
      <c r="AB177" s="15" t="str">
        <f t="shared" si="69"/>
        <v/>
      </c>
      <c r="AC177" s="13" t="str">
        <f t="shared" si="70"/>
        <v/>
      </c>
      <c r="AD177" s="8" t="str">
        <f t="shared" si="71"/>
        <v/>
      </c>
      <c r="AE177" s="1"/>
      <c r="AF177" s="1"/>
      <c r="AG177" s="1"/>
    </row>
    <row r="178" spans="1:33" ht="15">
      <c r="A178" s="1">
        <f t="shared" si="60"/>
        <v>175</v>
      </c>
      <c r="B178" s="1"/>
      <c r="C178" s="1"/>
      <c r="D178" s="1"/>
      <c r="E178" s="1"/>
      <c r="F178" s="6"/>
      <c r="G178" s="5"/>
      <c r="H178" s="1"/>
      <c r="I178" s="1"/>
      <c r="J178" s="1"/>
      <c r="K178" s="1"/>
      <c r="L178" s="1"/>
      <c r="M178" s="1"/>
      <c r="N178" s="1"/>
      <c r="O178" s="1"/>
      <c r="P178" s="1"/>
      <c r="Q178" s="7"/>
      <c r="R178" s="13" t="str">
        <f t="shared" si="61"/>
        <v/>
      </c>
      <c r="S178" s="13" t="str">
        <f t="shared" si="62"/>
        <v/>
      </c>
      <c r="T178" s="14" t="str">
        <f t="shared" si="63"/>
        <v/>
      </c>
      <c r="U178" s="14">
        <v>1000</v>
      </c>
      <c r="V178" s="14">
        <v>1000</v>
      </c>
      <c r="W178" s="8">
        <f t="shared" si="64"/>
        <v>7.6999999999999999E-2</v>
      </c>
      <c r="X178" s="13" t="str">
        <f t="shared" si="65"/>
        <v/>
      </c>
      <c r="Y178" s="13" t="str">
        <f t="shared" si="66"/>
        <v/>
      </c>
      <c r="Z178" s="15" t="str">
        <f t="shared" si="67"/>
        <v/>
      </c>
      <c r="AA178" s="15">
        <f t="shared" si="68"/>
        <v>900</v>
      </c>
      <c r="AB178" s="15" t="str">
        <f t="shared" si="69"/>
        <v/>
      </c>
      <c r="AC178" s="13" t="str">
        <f t="shared" si="70"/>
        <v/>
      </c>
      <c r="AD178" s="8" t="str">
        <f t="shared" si="71"/>
        <v/>
      </c>
      <c r="AE178" s="1"/>
      <c r="AF178" s="1"/>
      <c r="AG178" s="1"/>
    </row>
    <row r="179" spans="1:33" ht="15">
      <c r="A179" s="1">
        <f t="shared" si="60"/>
        <v>176</v>
      </c>
      <c r="B179" s="1"/>
      <c r="C179" s="1"/>
      <c r="D179" s="1"/>
      <c r="E179" s="1"/>
      <c r="F179" s="6"/>
      <c r="G179" s="5"/>
      <c r="H179" s="1"/>
      <c r="I179" s="1"/>
      <c r="J179" s="1"/>
      <c r="K179" s="1"/>
      <c r="L179" s="1"/>
      <c r="M179" s="1"/>
      <c r="N179" s="1"/>
      <c r="O179" s="1"/>
      <c r="P179" s="1"/>
      <c r="Q179" s="7"/>
      <c r="R179" s="13" t="str">
        <f t="shared" si="61"/>
        <v/>
      </c>
      <c r="S179" s="13" t="str">
        <f t="shared" si="62"/>
        <v/>
      </c>
      <c r="T179" s="14" t="str">
        <f t="shared" si="63"/>
        <v/>
      </c>
      <c r="U179" s="14">
        <v>1000</v>
      </c>
      <c r="V179" s="14">
        <v>1000</v>
      </c>
      <c r="W179" s="8">
        <f t="shared" si="64"/>
        <v>7.6999999999999999E-2</v>
      </c>
      <c r="X179" s="13" t="str">
        <f t="shared" si="65"/>
        <v/>
      </c>
      <c r="Y179" s="13" t="str">
        <f t="shared" si="66"/>
        <v/>
      </c>
      <c r="Z179" s="15" t="str">
        <f t="shared" si="67"/>
        <v/>
      </c>
      <c r="AA179" s="15">
        <f t="shared" si="68"/>
        <v>900</v>
      </c>
      <c r="AB179" s="15" t="str">
        <f t="shared" si="69"/>
        <v/>
      </c>
      <c r="AC179" s="13" t="str">
        <f t="shared" si="70"/>
        <v/>
      </c>
      <c r="AD179" s="8" t="str">
        <f t="shared" si="71"/>
        <v/>
      </c>
      <c r="AE179" s="1"/>
      <c r="AF179" s="1"/>
      <c r="AG179" s="1"/>
    </row>
    <row r="180" spans="1:33" ht="15">
      <c r="A180" s="1">
        <f t="shared" si="60"/>
        <v>177</v>
      </c>
      <c r="B180" s="1"/>
      <c r="C180" s="1"/>
      <c r="D180" s="1"/>
      <c r="E180" s="1"/>
      <c r="F180" s="6"/>
      <c r="G180" s="5"/>
      <c r="H180" s="1"/>
      <c r="I180" s="1"/>
      <c r="J180" s="1"/>
      <c r="K180" s="1"/>
      <c r="L180" s="1"/>
      <c r="M180" s="1"/>
      <c r="N180" s="1"/>
      <c r="O180" s="1"/>
      <c r="P180" s="1"/>
      <c r="Q180" s="7"/>
      <c r="R180" s="13" t="str">
        <f t="shared" si="61"/>
        <v/>
      </c>
      <c r="S180" s="13" t="str">
        <f t="shared" si="62"/>
        <v/>
      </c>
      <c r="T180" s="14" t="str">
        <f t="shared" si="63"/>
        <v/>
      </c>
      <c r="U180" s="14">
        <v>1000</v>
      </c>
      <c r="V180" s="14">
        <v>1000</v>
      </c>
      <c r="W180" s="8">
        <f t="shared" si="64"/>
        <v>7.6999999999999999E-2</v>
      </c>
      <c r="X180" s="13" t="str">
        <f t="shared" si="65"/>
        <v/>
      </c>
      <c r="Y180" s="13" t="str">
        <f t="shared" si="66"/>
        <v/>
      </c>
      <c r="Z180" s="15" t="str">
        <f t="shared" si="67"/>
        <v/>
      </c>
      <c r="AA180" s="15">
        <f t="shared" si="68"/>
        <v>900</v>
      </c>
      <c r="AB180" s="15" t="str">
        <f t="shared" si="69"/>
        <v/>
      </c>
      <c r="AC180" s="13" t="str">
        <f t="shared" si="70"/>
        <v/>
      </c>
      <c r="AD180" s="8" t="str">
        <f t="shared" si="71"/>
        <v/>
      </c>
      <c r="AE180" s="1"/>
      <c r="AF180" s="1"/>
      <c r="AG180" s="1"/>
    </row>
    <row r="181" spans="1:33" ht="15">
      <c r="A181" s="1">
        <f t="shared" si="60"/>
        <v>178</v>
      </c>
      <c r="B181" s="1"/>
      <c r="C181" s="1"/>
      <c r="D181" s="1"/>
      <c r="E181" s="1"/>
      <c r="F181" s="6"/>
      <c r="G181" s="5"/>
      <c r="H181" s="1"/>
      <c r="I181" s="1"/>
      <c r="J181" s="1"/>
      <c r="K181" s="1"/>
      <c r="L181" s="1"/>
      <c r="M181" s="1"/>
      <c r="N181" s="1"/>
      <c r="O181" s="1"/>
      <c r="P181" s="1"/>
      <c r="Q181" s="7"/>
      <c r="R181" s="13" t="str">
        <f t="shared" si="61"/>
        <v/>
      </c>
      <c r="S181" s="13" t="str">
        <f t="shared" si="62"/>
        <v/>
      </c>
      <c r="T181" s="14" t="str">
        <f t="shared" si="63"/>
        <v/>
      </c>
      <c r="U181" s="14">
        <v>1000</v>
      </c>
      <c r="V181" s="14">
        <v>1000</v>
      </c>
      <c r="W181" s="8">
        <f t="shared" si="64"/>
        <v>7.6999999999999999E-2</v>
      </c>
      <c r="X181" s="13" t="str">
        <f t="shared" si="65"/>
        <v/>
      </c>
      <c r="Y181" s="13" t="str">
        <f t="shared" si="66"/>
        <v/>
      </c>
      <c r="Z181" s="15" t="str">
        <f t="shared" si="67"/>
        <v/>
      </c>
      <c r="AA181" s="15">
        <f t="shared" si="68"/>
        <v>900</v>
      </c>
      <c r="AB181" s="15" t="str">
        <f t="shared" si="69"/>
        <v/>
      </c>
      <c r="AC181" s="13" t="str">
        <f t="shared" si="70"/>
        <v/>
      </c>
      <c r="AD181" s="8" t="str">
        <f t="shared" si="71"/>
        <v/>
      </c>
      <c r="AE181" s="1"/>
      <c r="AF181" s="1"/>
      <c r="AG181" s="1"/>
    </row>
    <row r="182" spans="1:33" ht="15">
      <c r="A182" s="1">
        <f t="shared" si="60"/>
        <v>179</v>
      </c>
      <c r="B182" s="1"/>
      <c r="C182" s="1"/>
      <c r="D182" s="1"/>
      <c r="E182" s="1"/>
      <c r="F182" s="6"/>
      <c r="G182" s="5"/>
      <c r="H182" s="1"/>
      <c r="I182" s="1"/>
      <c r="J182" s="1"/>
      <c r="K182" s="1"/>
      <c r="L182" s="1"/>
      <c r="M182" s="1"/>
      <c r="N182" s="1"/>
      <c r="O182" s="1"/>
      <c r="P182" s="1"/>
      <c r="Q182" s="7"/>
      <c r="R182" s="13" t="str">
        <f t="shared" si="61"/>
        <v/>
      </c>
      <c r="S182" s="13" t="str">
        <f t="shared" si="62"/>
        <v/>
      </c>
      <c r="T182" s="14" t="str">
        <f t="shared" si="63"/>
        <v/>
      </c>
      <c r="U182" s="14">
        <v>1000</v>
      </c>
      <c r="V182" s="14">
        <v>1000</v>
      </c>
      <c r="W182" s="8">
        <f t="shared" si="64"/>
        <v>7.6999999999999999E-2</v>
      </c>
      <c r="X182" s="13" t="str">
        <f t="shared" si="65"/>
        <v/>
      </c>
      <c r="Y182" s="13" t="str">
        <f t="shared" si="66"/>
        <v/>
      </c>
      <c r="Z182" s="15" t="str">
        <f t="shared" si="67"/>
        <v/>
      </c>
      <c r="AA182" s="15">
        <f t="shared" si="68"/>
        <v>900</v>
      </c>
      <c r="AB182" s="15" t="str">
        <f t="shared" si="69"/>
        <v/>
      </c>
      <c r="AC182" s="13" t="str">
        <f t="shared" si="70"/>
        <v/>
      </c>
      <c r="AD182" s="8" t="str">
        <f t="shared" si="71"/>
        <v/>
      </c>
      <c r="AE182" s="1"/>
      <c r="AF182" s="1"/>
      <c r="AG182" s="1"/>
    </row>
    <row r="183" spans="1:33" ht="15">
      <c r="A183" s="1">
        <f t="shared" si="60"/>
        <v>180</v>
      </c>
      <c r="B183" s="1"/>
      <c r="C183" s="1"/>
      <c r="D183" s="1"/>
      <c r="E183" s="1"/>
      <c r="F183" s="6"/>
      <c r="G183" s="5"/>
      <c r="H183" s="1"/>
      <c r="I183" s="1"/>
      <c r="J183" s="1"/>
      <c r="K183" s="1"/>
      <c r="L183" s="1"/>
      <c r="M183" s="1"/>
      <c r="N183" s="1"/>
      <c r="O183" s="1"/>
      <c r="P183" s="1"/>
      <c r="Q183" s="7"/>
      <c r="R183" s="13" t="str">
        <f t="shared" si="61"/>
        <v/>
      </c>
      <c r="S183" s="13" t="str">
        <f t="shared" si="62"/>
        <v/>
      </c>
      <c r="T183" s="14" t="str">
        <f t="shared" si="63"/>
        <v/>
      </c>
      <c r="U183" s="14">
        <v>1000</v>
      </c>
      <c r="V183" s="14">
        <v>1000</v>
      </c>
      <c r="W183" s="8">
        <f t="shared" si="64"/>
        <v>7.6999999999999999E-2</v>
      </c>
      <c r="X183" s="13" t="str">
        <f t="shared" si="65"/>
        <v/>
      </c>
      <c r="Y183" s="13" t="str">
        <f t="shared" si="66"/>
        <v/>
      </c>
      <c r="Z183" s="15" t="str">
        <f t="shared" si="67"/>
        <v/>
      </c>
      <c r="AA183" s="15">
        <f t="shared" si="68"/>
        <v>900</v>
      </c>
      <c r="AB183" s="15" t="str">
        <f t="shared" si="69"/>
        <v/>
      </c>
      <c r="AC183" s="13" t="str">
        <f t="shared" si="70"/>
        <v/>
      </c>
      <c r="AD183" s="8" t="str">
        <f t="shared" si="71"/>
        <v/>
      </c>
      <c r="AE183" s="1"/>
      <c r="AF183" s="1"/>
      <c r="AG183" s="1"/>
    </row>
    <row r="184" spans="1:33" ht="15">
      <c r="A184" s="1">
        <f t="shared" si="60"/>
        <v>181</v>
      </c>
      <c r="B184" s="1"/>
      <c r="C184" s="1"/>
      <c r="D184" s="1"/>
      <c r="E184" s="1"/>
      <c r="F184" s="6"/>
      <c r="G184" s="5"/>
      <c r="H184" s="1"/>
      <c r="I184" s="1"/>
      <c r="J184" s="1"/>
      <c r="K184" s="1"/>
      <c r="L184" s="1"/>
      <c r="M184" s="1"/>
      <c r="N184" s="1"/>
      <c r="O184" s="1"/>
      <c r="P184" s="1"/>
      <c r="Q184" s="7"/>
      <c r="R184" s="13" t="str">
        <f t="shared" si="61"/>
        <v/>
      </c>
      <c r="S184" s="13" t="str">
        <f t="shared" si="62"/>
        <v/>
      </c>
      <c r="T184" s="14" t="str">
        <f t="shared" si="63"/>
        <v/>
      </c>
      <c r="U184" s="14">
        <v>1000</v>
      </c>
      <c r="V184" s="14">
        <v>1000</v>
      </c>
      <c r="W184" s="8">
        <f t="shared" si="64"/>
        <v>7.6999999999999999E-2</v>
      </c>
      <c r="X184" s="13" t="str">
        <f t="shared" si="65"/>
        <v/>
      </c>
      <c r="Y184" s="13" t="str">
        <f t="shared" si="66"/>
        <v/>
      </c>
      <c r="Z184" s="15" t="str">
        <f t="shared" si="67"/>
        <v/>
      </c>
      <c r="AA184" s="15">
        <f t="shared" si="68"/>
        <v>900</v>
      </c>
      <c r="AB184" s="15" t="str">
        <f t="shared" si="69"/>
        <v/>
      </c>
      <c r="AC184" s="13" t="str">
        <f t="shared" si="70"/>
        <v/>
      </c>
      <c r="AD184" s="8" t="str">
        <f t="shared" si="71"/>
        <v/>
      </c>
      <c r="AE184" s="1"/>
      <c r="AF184" s="1"/>
      <c r="AG184" s="1"/>
    </row>
    <row r="185" spans="1:33" ht="15">
      <c r="A185" s="1">
        <f t="shared" si="60"/>
        <v>182</v>
      </c>
      <c r="B185" s="1"/>
      <c r="C185" s="1"/>
      <c r="D185" s="1"/>
      <c r="E185" s="1"/>
      <c r="F185" s="6"/>
      <c r="G185" s="5"/>
      <c r="H185" s="1"/>
      <c r="I185" s="1"/>
      <c r="J185" s="1"/>
      <c r="K185" s="1"/>
      <c r="L185" s="1"/>
      <c r="M185" s="1"/>
      <c r="N185" s="1"/>
      <c r="O185" s="1"/>
      <c r="P185" s="1"/>
      <c r="Q185" s="7"/>
      <c r="R185" s="13" t="str">
        <f t="shared" si="61"/>
        <v/>
      </c>
      <c r="S185" s="13" t="str">
        <f t="shared" si="62"/>
        <v/>
      </c>
      <c r="T185" s="14" t="str">
        <f t="shared" si="63"/>
        <v/>
      </c>
      <c r="U185" s="14">
        <v>1000</v>
      </c>
      <c r="V185" s="14">
        <v>1000</v>
      </c>
      <c r="W185" s="8">
        <f t="shared" si="64"/>
        <v>7.6999999999999999E-2</v>
      </c>
      <c r="X185" s="13" t="str">
        <f t="shared" si="65"/>
        <v/>
      </c>
      <c r="Y185" s="13" t="str">
        <f t="shared" si="66"/>
        <v/>
      </c>
      <c r="Z185" s="15" t="str">
        <f t="shared" si="67"/>
        <v/>
      </c>
      <c r="AA185" s="15">
        <f t="shared" si="68"/>
        <v>900</v>
      </c>
      <c r="AB185" s="15" t="str">
        <f t="shared" si="69"/>
        <v/>
      </c>
      <c r="AC185" s="13" t="str">
        <f t="shared" si="70"/>
        <v/>
      </c>
      <c r="AD185" s="8" t="str">
        <f t="shared" si="71"/>
        <v/>
      </c>
      <c r="AE185" s="1"/>
      <c r="AF185" s="1"/>
      <c r="AG185" s="1"/>
    </row>
    <row r="186" spans="1:33" ht="15">
      <c r="A186" s="1">
        <f t="shared" si="60"/>
        <v>183</v>
      </c>
      <c r="B186" s="1"/>
      <c r="C186" s="1"/>
      <c r="D186" s="1"/>
      <c r="E186" s="1"/>
      <c r="F186" s="6"/>
      <c r="G186" s="5"/>
      <c r="H186" s="1"/>
      <c r="I186" s="1"/>
      <c r="J186" s="1"/>
      <c r="K186" s="1"/>
      <c r="L186" s="1"/>
      <c r="M186" s="1"/>
      <c r="N186" s="1"/>
      <c r="O186" s="1"/>
      <c r="P186" s="1"/>
      <c r="Q186" s="7"/>
      <c r="R186" s="13" t="str">
        <f t="shared" si="61"/>
        <v/>
      </c>
      <c r="S186" s="13" t="str">
        <f t="shared" si="62"/>
        <v/>
      </c>
      <c r="T186" s="14" t="str">
        <f t="shared" si="63"/>
        <v/>
      </c>
      <c r="U186" s="14">
        <v>1000</v>
      </c>
      <c r="V186" s="14">
        <v>1000</v>
      </c>
      <c r="W186" s="8">
        <f t="shared" si="64"/>
        <v>7.6999999999999999E-2</v>
      </c>
      <c r="X186" s="13" t="str">
        <f t="shared" si="65"/>
        <v/>
      </c>
      <c r="Y186" s="13" t="str">
        <f t="shared" si="66"/>
        <v/>
      </c>
      <c r="Z186" s="15" t="str">
        <f t="shared" si="67"/>
        <v/>
      </c>
      <c r="AA186" s="15">
        <f t="shared" si="68"/>
        <v>900</v>
      </c>
      <c r="AB186" s="15" t="str">
        <f t="shared" si="69"/>
        <v/>
      </c>
      <c r="AC186" s="13" t="str">
        <f t="shared" si="70"/>
        <v/>
      </c>
      <c r="AD186" s="8" t="str">
        <f t="shared" si="71"/>
        <v/>
      </c>
      <c r="AE186" s="1"/>
      <c r="AF186" s="1"/>
      <c r="AG186" s="1"/>
    </row>
    <row r="187" spans="1:33" ht="15">
      <c r="A187" s="1">
        <f t="shared" si="60"/>
        <v>184</v>
      </c>
      <c r="B187" s="1"/>
      <c r="C187" s="1"/>
      <c r="D187" s="1"/>
      <c r="E187" s="1"/>
      <c r="F187" s="6"/>
      <c r="G187" s="5"/>
      <c r="H187" s="1"/>
      <c r="I187" s="1"/>
      <c r="J187" s="1"/>
      <c r="K187" s="1"/>
      <c r="L187" s="1"/>
      <c r="M187" s="1"/>
      <c r="N187" s="1"/>
      <c r="O187" s="1"/>
      <c r="P187" s="1"/>
      <c r="Q187" s="7"/>
      <c r="R187" s="13" t="str">
        <f t="shared" si="61"/>
        <v/>
      </c>
      <c r="S187" s="13" t="str">
        <f t="shared" si="62"/>
        <v/>
      </c>
      <c r="T187" s="14" t="str">
        <f t="shared" si="63"/>
        <v/>
      </c>
      <c r="U187" s="14">
        <v>1000</v>
      </c>
      <c r="V187" s="14">
        <v>1000</v>
      </c>
      <c r="W187" s="8">
        <f t="shared" si="64"/>
        <v>7.6999999999999999E-2</v>
      </c>
      <c r="X187" s="13" t="str">
        <f t="shared" si="65"/>
        <v/>
      </c>
      <c r="Y187" s="13" t="str">
        <f t="shared" si="66"/>
        <v/>
      </c>
      <c r="Z187" s="15" t="str">
        <f t="shared" si="67"/>
        <v/>
      </c>
      <c r="AA187" s="15">
        <f t="shared" si="68"/>
        <v>900</v>
      </c>
      <c r="AB187" s="15" t="str">
        <f t="shared" si="69"/>
        <v/>
      </c>
      <c r="AC187" s="13" t="str">
        <f t="shared" si="70"/>
        <v/>
      </c>
      <c r="AD187" s="8" t="str">
        <f t="shared" si="71"/>
        <v/>
      </c>
      <c r="AE187" s="1"/>
      <c r="AF187" s="1"/>
      <c r="AG187" s="1"/>
    </row>
    <row r="188" spans="1:33" ht="15">
      <c r="A188" s="1">
        <f t="shared" si="60"/>
        <v>185</v>
      </c>
      <c r="B188" s="1"/>
      <c r="C188" s="1"/>
      <c r="D188" s="1"/>
      <c r="E188" s="1"/>
      <c r="F188" s="6"/>
      <c r="G188" s="5"/>
      <c r="H188" s="1"/>
      <c r="I188" s="1"/>
      <c r="J188" s="1"/>
      <c r="K188" s="1"/>
      <c r="L188" s="1"/>
      <c r="M188" s="1"/>
      <c r="N188" s="1"/>
      <c r="O188" s="1"/>
      <c r="P188" s="1"/>
      <c r="Q188" s="7"/>
      <c r="R188" s="13" t="str">
        <f t="shared" si="61"/>
        <v/>
      </c>
      <c r="S188" s="13" t="str">
        <f t="shared" si="62"/>
        <v/>
      </c>
      <c r="T188" s="14" t="str">
        <f t="shared" si="63"/>
        <v/>
      </c>
      <c r="U188" s="14">
        <v>1000</v>
      </c>
      <c r="V188" s="14">
        <v>1000</v>
      </c>
      <c r="W188" s="8">
        <f t="shared" si="64"/>
        <v>7.6999999999999999E-2</v>
      </c>
      <c r="X188" s="13" t="str">
        <f t="shared" si="65"/>
        <v/>
      </c>
      <c r="Y188" s="13" t="str">
        <f t="shared" si="66"/>
        <v/>
      </c>
      <c r="Z188" s="15" t="str">
        <f t="shared" si="67"/>
        <v/>
      </c>
      <c r="AA188" s="15">
        <f t="shared" si="68"/>
        <v>900</v>
      </c>
      <c r="AB188" s="15" t="str">
        <f t="shared" si="69"/>
        <v/>
      </c>
      <c r="AC188" s="13" t="str">
        <f t="shared" si="70"/>
        <v/>
      </c>
      <c r="AD188" s="8" t="str">
        <f t="shared" si="71"/>
        <v/>
      </c>
      <c r="AE188" s="1"/>
      <c r="AF188" s="1"/>
      <c r="AG188" s="1"/>
    </row>
    <row r="189" spans="1:33" ht="15">
      <c r="A189" s="1">
        <f t="shared" si="60"/>
        <v>186</v>
      </c>
      <c r="B189" s="1"/>
      <c r="C189" s="1"/>
      <c r="D189" s="1"/>
      <c r="E189" s="1"/>
      <c r="F189" s="6"/>
      <c r="G189" s="5"/>
      <c r="H189" s="1"/>
      <c r="I189" s="1"/>
      <c r="J189" s="1"/>
      <c r="K189" s="1"/>
      <c r="L189" s="1"/>
      <c r="M189" s="1"/>
      <c r="N189" s="1"/>
      <c r="O189" s="1"/>
      <c r="P189" s="1"/>
      <c r="Q189" s="7"/>
      <c r="R189" s="13" t="str">
        <f t="shared" si="61"/>
        <v/>
      </c>
      <c r="S189" s="13" t="str">
        <f t="shared" si="62"/>
        <v/>
      </c>
      <c r="T189" s="14" t="str">
        <f t="shared" si="63"/>
        <v/>
      </c>
      <c r="U189" s="14">
        <v>1000</v>
      </c>
      <c r="V189" s="14">
        <v>1000</v>
      </c>
      <c r="W189" s="8">
        <f t="shared" si="64"/>
        <v>7.6999999999999999E-2</v>
      </c>
      <c r="X189" s="13" t="str">
        <f t="shared" si="65"/>
        <v/>
      </c>
      <c r="Y189" s="13" t="str">
        <f t="shared" si="66"/>
        <v/>
      </c>
      <c r="Z189" s="15" t="str">
        <f t="shared" si="67"/>
        <v/>
      </c>
      <c r="AA189" s="15">
        <f t="shared" si="68"/>
        <v>900</v>
      </c>
      <c r="AB189" s="15" t="str">
        <f t="shared" si="69"/>
        <v/>
      </c>
      <c r="AC189" s="13" t="str">
        <f t="shared" si="70"/>
        <v/>
      </c>
      <c r="AD189" s="8" t="str">
        <f t="shared" si="71"/>
        <v/>
      </c>
      <c r="AE189" s="1"/>
      <c r="AF189" s="1"/>
      <c r="AG189" s="1"/>
    </row>
    <row r="190" spans="1:33" ht="15">
      <c r="A190" s="1">
        <f t="shared" si="60"/>
        <v>187</v>
      </c>
      <c r="B190" s="1"/>
      <c r="C190" s="1"/>
      <c r="D190" s="1"/>
      <c r="E190" s="1"/>
      <c r="F190" s="6"/>
      <c r="G190" s="5"/>
      <c r="H190" s="1"/>
      <c r="I190" s="1"/>
      <c r="J190" s="1"/>
      <c r="K190" s="1"/>
      <c r="L190" s="1"/>
      <c r="M190" s="1"/>
      <c r="N190" s="1"/>
      <c r="O190" s="1"/>
      <c r="P190" s="1"/>
      <c r="Q190" s="7"/>
      <c r="R190" s="13" t="str">
        <f t="shared" si="61"/>
        <v/>
      </c>
      <c r="S190" s="13" t="str">
        <f t="shared" si="62"/>
        <v/>
      </c>
      <c r="T190" s="14" t="str">
        <f t="shared" si="63"/>
        <v/>
      </c>
      <c r="U190" s="14">
        <v>1000</v>
      </c>
      <c r="V190" s="14">
        <v>1000</v>
      </c>
      <c r="W190" s="8">
        <f t="shared" si="64"/>
        <v>7.6999999999999999E-2</v>
      </c>
      <c r="X190" s="13" t="str">
        <f t="shared" si="65"/>
        <v/>
      </c>
      <c r="Y190" s="13" t="str">
        <f t="shared" si="66"/>
        <v/>
      </c>
      <c r="Z190" s="15" t="str">
        <f t="shared" si="67"/>
        <v/>
      </c>
      <c r="AA190" s="15">
        <f t="shared" si="68"/>
        <v>900</v>
      </c>
      <c r="AB190" s="15" t="str">
        <f t="shared" si="69"/>
        <v/>
      </c>
      <c r="AC190" s="13" t="str">
        <f t="shared" si="70"/>
        <v/>
      </c>
      <c r="AD190" s="8" t="str">
        <f t="shared" si="71"/>
        <v/>
      </c>
      <c r="AE190" s="1"/>
      <c r="AF190" s="1"/>
      <c r="AG190" s="1"/>
    </row>
    <row r="191" spans="1:33" ht="15">
      <c r="A191" s="1">
        <f t="shared" si="60"/>
        <v>188</v>
      </c>
      <c r="B191" s="1"/>
      <c r="C191" s="1"/>
      <c r="D191" s="1"/>
      <c r="E191" s="1"/>
      <c r="F191" s="6"/>
      <c r="G191" s="5"/>
      <c r="H191" s="1"/>
      <c r="I191" s="1"/>
      <c r="J191" s="1"/>
      <c r="K191" s="1"/>
      <c r="L191" s="1"/>
      <c r="M191" s="1"/>
      <c r="N191" s="1"/>
      <c r="O191" s="1"/>
      <c r="P191" s="1"/>
      <c r="Q191" s="7"/>
      <c r="R191" s="13" t="str">
        <f t="shared" si="61"/>
        <v/>
      </c>
      <c r="S191" s="13" t="str">
        <f t="shared" si="62"/>
        <v/>
      </c>
      <c r="T191" s="14" t="str">
        <f t="shared" si="63"/>
        <v/>
      </c>
      <c r="U191" s="14">
        <v>1000</v>
      </c>
      <c r="V191" s="14">
        <v>1000</v>
      </c>
      <c r="W191" s="8">
        <f t="shared" si="64"/>
        <v>7.6999999999999999E-2</v>
      </c>
      <c r="X191" s="13" t="str">
        <f t="shared" si="65"/>
        <v/>
      </c>
      <c r="Y191" s="13" t="str">
        <f t="shared" si="66"/>
        <v/>
      </c>
      <c r="Z191" s="15" t="str">
        <f t="shared" si="67"/>
        <v/>
      </c>
      <c r="AA191" s="15">
        <f t="shared" si="68"/>
        <v>900</v>
      </c>
      <c r="AB191" s="15" t="str">
        <f t="shared" si="69"/>
        <v/>
      </c>
      <c r="AC191" s="13" t="str">
        <f t="shared" si="70"/>
        <v/>
      </c>
      <c r="AD191" s="8" t="str">
        <f t="shared" si="71"/>
        <v/>
      </c>
      <c r="AE191" s="1"/>
      <c r="AF191" s="1"/>
      <c r="AG191" s="1"/>
    </row>
    <row r="192" spans="1:33" ht="15">
      <c r="A192" s="1">
        <f t="shared" si="60"/>
        <v>189</v>
      </c>
      <c r="B192" s="1"/>
      <c r="C192" s="1"/>
      <c r="D192" s="1"/>
      <c r="E192" s="1"/>
      <c r="F192" s="6"/>
      <c r="G192" s="5"/>
      <c r="H192" s="1"/>
      <c r="I192" s="1"/>
      <c r="J192" s="1"/>
      <c r="K192" s="1"/>
      <c r="L192" s="1"/>
      <c r="M192" s="1"/>
      <c r="N192" s="1"/>
      <c r="O192" s="1"/>
      <c r="P192" s="1"/>
      <c r="Q192" s="7"/>
      <c r="R192" s="13" t="str">
        <f t="shared" si="61"/>
        <v/>
      </c>
      <c r="S192" s="13" t="str">
        <f t="shared" si="62"/>
        <v/>
      </c>
      <c r="T192" s="14" t="str">
        <f t="shared" si="63"/>
        <v/>
      </c>
      <c r="U192" s="14">
        <v>1000</v>
      </c>
      <c r="V192" s="14">
        <v>1000</v>
      </c>
      <c r="W192" s="8">
        <f t="shared" si="64"/>
        <v>7.6999999999999999E-2</v>
      </c>
      <c r="X192" s="13" t="str">
        <f t="shared" si="65"/>
        <v/>
      </c>
      <c r="Y192" s="13" t="str">
        <f t="shared" si="66"/>
        <v/>
      </c>
      <c r="Z192" s="15" t="str">
        <f t="shared" si="67"/>
        <v/>
      </c>
      <c r="AA192" s="15">
        <f t="shared" si="68"/>
        <v>900</v>
      </c>
      <c r="AB192" s="15" t="str">
        <f t="shared" si="69"/>
        <v/>
      </c>
      <c r="AC192" s="13" t="str">
        <f t="shared" si="70"/>
        <v/>
      </c>
      <c r="AD192" s="8" t="str">
        <f t="shared" si="71"/>
        <v/>
      </c>
      <c r="AE192" s="1"/>
      <c r="AF192" s="1"/>
      <c r="AG192" s="1"/>
    </row>
    <row r="193" spans="1:33" ht="15">
      <c r="A193" s="1">
        <f t="shared" si="60"/>
        <v>190</v>
      </c>
      <c r="B193" s="1"/>
      <c r="C193" s="1"/>
      <c r="D193" s="1"/>
      <c r="E193" s="1"/>
      <c r="F193" s="6"/>
      <c r="G193" s="5"/>
      <c r="H193" s="1"/>
      <c r="I193" s="1"/>
      <c r="J193" s="1"/>
      <c r="K193" s="1"/>
      <c r="L193" s="1"/>
      <c r="M193" s="1"/>
      <c r="N193" s="1"/>
      <c r="O193" s="1"/>
      <c r="P193" s="1"/>
      <c r="Q193" s="7"/>
      <c r="R193" s="13" t="str">
        <f t="shared" si="61"/>
        <v/>
      </c>
      <c r="S193" s="13" t="str">
        <f t="shared" si="62"/>
        <v/>
      </c>
      <c r="T193" s="14" t="str">
        <f t="shared" si="63"/>
        <v/>
      </c>
      <c r="U193" s="14">
        <v>1000</v>
      </c>
      <c r="V193" s="14">
        <v>1000</v>
      </c>
      <c r="W193" s="8">
        <f t="shared" si="64"/>
        <v>7.6999999999999999E-2</v>
      </c>
      <c r="X193" s="13" t="str">
        <f t="shared" si="65"/>
        <v/>
      </c>
      <c r="Y193" s="13" t="str">
        <f t="shared" si="66"/>
        <v/>
      </c>
      <c r="Z193" s="15" t="str">
        <f t="shared" si="67"/>
        <v/>
      </c>
      <c r="AA193" s="15">
        <f t="shared" si="68"/>
        <v>900</v>
      </c>
      <c r="AB193" s="15" t="str">
        <f t="shared" si="69"/>
        <v/>
      </c>
      <c r="AC193" s="13" t="str">
        <f t="shared" si="70"/>
        <v/>
      </c>
      <c r="AD193" s="8" t="str">
        <f t="shared" si="71"/>
        <v/>
      </c>
      <c r="AE193" s="1"/>
      <c r="AF193" s="1"/>
      <c r="AG193" s="1"/>
    </row>
    <row r="194" spans="1:33" ht="15">
      <c r="A194" s="1">
        <f t="shared" si="60"/>
        <v>191</v>
      </c>
      <c r="B194" s="1"/>
      <c r="C194" s="1"/>
      <c r="D194" s="1"/>
      <c r="E194" s="1"/>
      <c r="F194" s="6"/>
      <c r="G194" s="5"/>
      <c r="H194" s="1"/>
      <c r="I194" s="1"/>
      <c r="J194" s="1"/>
      <c r="K194" s="1"/>
      <c r="L194" s="1"/>
      <c r="M194" s="1"/>
      <c r="N194" s="1"/>
      <c r="O194" s="1"/>
      <c r="P194" s="1"/>
      <c r="Q194" s="7"/>
      <c r="R194" s="13" t="str">
        <f t="shared" si="61"/>
        <v/>
      </c>
      <c r="S194" s="13" t="str">
        <f t="shared" si="62"/>
        <v/>
      </c>
      <c r="T194" s="14" t="str">
        <f t="shared" si="63"/>
        <v/>
      </c>
      <c r="U194" s="14">
        <v>1000</v>
      </c>
      <c r="V194" s="14">
        <v>1000</v>
      </c>
      <c r="W194" s="8">
        <f t="shared" si="64"/>
        <v>7.6999999999999999E-2</v>
      </c>
      <c r="X194" s="13" t="str">
        <f t="shared" si="65"/>
        <v/>
      </c>
      <c r="Y194" s="13" t="str">
        <f t="shared" si="66"/>
        <v/>
      </c>
      <c r="Z194" s="15" t="str">
        <f t="shared" si="67"/>
        <v/>
      </c>
      <c r="AA194" s="15">
        <f t="shared" si="68"/>
        <v>900</v>
      </c>
      <c r="AB194" s="15" t="str">
        <f t="shared" si="69"/>
        <v/>
      </c>
      <c r="AC194" s="13" t="str">
        <f t="shared" si="70"/>
        <v/>
      </c>
      <c r="AD194" s="8" t="str">
        <f t="shared" si="71"/>
        <v/>
      </c>
      <c r="AE194" s="1"/>
      <c r="AF194" s="1"/>
      <c r="AG194" s="1"/>
    </row>
    <row r="195" spans="1:33" ht="15">
      <c r="A195" s="1">
        <f t="shared" si="60"/>
        <v>192</v>
      </c>
      <c r="B195" s="1"/>
      <c r="C195" s="1"/>
      <c r="D195" s="1"/>
      <c r="E195" s="1"/>
      <c r="F195" s="6"/>
      <c r="G195" s="5"/>
      <c r="H195" s="1"/>
      <c r="I195" s="1"/>
      <c r="J195" s="1"/>
      <c r="K195" s="1"/>
      <c r="L195" s="1"/>
      <c r="M195" s="1"/>
      <c r="N195" s="1"/>
      <c r="O195" s="1"/>
      <c r="P195" s="1"/>
      <c r="Q195" s="7"/>
      <c r="R195" s="13" t="str">
        <f t="shared" si="61"/>
        <v/>
      </c>
      <c r="S195" s="13" t="str">
        <f t="shared" si="62"/>
        <v/>
      </c>
      <c r="T195" s="14" t="str">
        <f t="shared" si="63"/>
        <v/>
      </c>
      <c r="U195" s="14">
        <v>1000</v>
      </c>
      <c r="V195" s="14">
        <v>1000</v>
      </c>
      <c r="W195" s="8">
        <f t="shared" si="64"/>
        <v>7.6999999999999999E-2</v>
      </c>
      <c r="X195" s="13" t="str">
        <f t="shared" si="65"/>
        <v/>
      </c>
      <c r="Y195" s="13" t="str">
        <f t="shared" si="66"/>
        <v/>
      </c>
      <c r="Z195" s="15" t="str">
        <f t="shared" si="67"/>
        <v/>
      </c>
      <c r="AA195" s="15">
        <f t="shared" si="68"/>
        <v>900</v>
      </c>
      <c r="AB195" s="15" t="str">
        <f t="shared" si="69"/>
        <v/>
      </c>
      <c r="AC195" s="13" t="str">
        <f t="shared" si="70"/>
        <v/>
      </c>
      <c r="AD195" s="8" t="str">
        <f t="shared" si="71"/>
        <v/>
      </c>
      <c r="AE195" s="1"/>
      <c r="AF195" s="1"/>
      <c r="AG195" s="1"/>
    </row>
    <row r="196" spans="1:33" ht="15">
      <c r="A196" s="1">
        <f t="shared" ref="A196:A203" si="72">ROW()-3</f>
        <v>193</v>
      </c>
      <c r="B196" s="1"/>
      <c r="C196" s="1"/>
      <c r="D196" s="1"/>
      <c r="E196" s="1"/>
      <c r="F196" s="6"/>
      <c r="G196" s="5"/>
      <c r="H196" s="1"/>
      <c r="I196" s="1"/>
      <c r="J196" s="1"/>
      <c r="K196" s="1"/>
      <c r="L196" s="1"/>
      <c r="M196" s="1"/>
      <c r="N196" s="1"/>
      <c r="O196" s="1"/>
      <c r="P196" s="1"/>
      <c r="Q196" s="7"/>
      <c r="R196" s="13" t="str">
        <f t="shared" ref="R196:R227" si="73">IF(OR(F196="",Q196=""),"",IF(OR(G196="USD",G196="EUR",G196="GBP"),F196*Q196,F196))</f>
        <v/>
      </c>
      <c r="S196" s="13" t="str">
        <f t="shared" ref="S196:S227" si="74">IF(Q196="","",IF(OR(J196="イギリス",J196="アメリカ",J196="イタリア",J196="フランス",J196="ドイツ",J196="スペイン",J196="オランダ",J196="ベルギー",J196="ポルトガル",J196="オーストリア",ISNUMBER(SEARCH("MyUS",K196))),ROUND(R196*0.08,0),0))</f>
        <v/>
      </c>
      <c r="T196" s="14" t="str">
        <f t="shared" ref="T196:T203" si="75">IF(Q196="","",IF(OR(ISNUMBER(SEARCH("コート",C196)),ISNUMBER(SEARCH("Coat",C196)),ISNUMBER(SEARCH("coat",C196))),15000,IF(OR(ISNUMBER(SEARCH("靴",C196)),ISNUMBER(SEARCH("スニーカー",C196)),ISNUMBER(SEARCH("Sneaker",C196)),ISNUMBER(SEARCH("sneaker",C196)),ISNUMBER(SEARCH("Shoes",C196)),ISNUMBER(SEARCH("shoes",C196)),ISNUMBER(SEARCH("Boot",C196)),ISNUMBER(SEARCH("boot",C196)),ISNUMBER(SEARCH("バッグ",C196)),ISNUMBER(SEARCH("Bag",C196)),ISNUMBER(SEARCH("bag",C196)),ISNUMBER(SEARCH("Tote",C196)),ISNUMBER(SEARCH("tote",C196)),ISNUMBER(SEARCH("Shoulder",C196)),ISNUMBER(SEARCH("shoulder",C196))),12000,7200)))</f>
        <v/>
      </c>
      <c r="U196" s="14">
        <v>1000</v>
      </c>
      <c r="V196" s="14">
        <v>1000</v>
      </c>
      <c r="W196" s="8">
        <f t="shared" ref="W196:W203" si="76">IF(A196="","",0.077)</f>
        <v>7.6999999999999999E-2</v>
      </c>
      <c r="X196" s="13" t="str">
        <f t="shared" ref="X196:X227" si="77">IF($Q196="","",ROUND(Y196*10%,0))</f>
        <v/>
      </c>
      <c r="Y196" s="13" t="str">
        <f t="shared" ref="Y196:Y203" si="78">IF(R196="","",R196+S196+T196+U196+V196)</f>
        <v/>
      </c>
      <c r="Z196" s="15" t="str">
        <f t="shared" ref="Z196:Z227" si="79">IF($Q196="","",IF(1-W196&lt;=0,"",ROUNDUP((Y196+X196)/(1-W196),0))-72)</f>
        <v/>
      </c>
      <c r="AA196" s="15">
        <f t="shared" ref="AA196:AA203" si="80">IF(A196="","",900)</f>
        <v>900</v>
      </c>
      <c r="AB196" s="15" t="str">
        <f t="shared" ref="AB196:AB227" si="81">IF(Z196="","",Z196+AA196)</f>
        <v/>
      </c>
      <c r="AC196" s="13" t="str">
        <f t="shared" ref="AC196:AC203" si="82">IF(Z196="","",Z196*(1-W196)-Y196)</f>
        <v/>
      </c>
      <c r="AD196" s="8" t="str">
        <f t="shared" ref="AD196:AD227" si="83">IF(AB196="","",AC196/AB196)</f>
        <v/>
      </c>
      <c r="AE196" s="1"/>
      <c r="AF196" s="1"/>
      <c r="AG196" s="1"/>
    </row>
    <row r="197" spans="1:33" ht="15">
      <c r="A197" s="1">
        <f t="shared" si="72"/>
        <v>194</v>
      </c>
      <c r="B197" s="1"/>
      <c r="C197" s="1"/>
      <c r="D197" s="1"/>
      <c r="E197" s="1"/>
      <c r="F197" s="6"/>
      <c r="G197" s="5"/>
      <c r="H197" s="1"/>
      <c r="I197" s="1"/>
      <c r="J197" s="1"/>
      <c r="K197" s="1"/>
      <c r="L197" s="1"/>
      <c r="M197" s="1"/>
      <c r="N197" s="1"/>
      <c r="O197" s="1"/>
      <c r="P197" s="1"/>
      <c r="Q197" s="7"/>
      <c r="R197" s="13" t="str">
        <f t="shared" si="73"/>
        <v/>
      </c>
      <c r="S197" s="13" t="str">
        <f t="shared" si="74"/>
        <v/>
      </c>
      <c r="T197" s="14" t="str">
        <f t="shared" si="75"/>
        <v/>
      </c>
      <c r="U197" s="14">
        <v>1000</v>
      </c>
      <c r="V197" s="14">
        <v>1000</v>
      </c>
      <c r="W197" s="8">
        <f t="shared" si="76"/>
        <v>7.6999999999999999E-2</v>
      </c>
      <c r="X197" s="13" t="str">
        <f t="shared" si="77"/>
        <v/>
      </c>
      <c r="Y197" s="13" t="str">
        <f t="shared" si="78"/>
        <v/>
      </c>
      <c r="Z197" s="15" t="str">
        <f t="shared" si="79"/>
        <v/>
      </c>
      <c r="AA197" s="15">
        <f t="shared" si="80"/>
        <v>900</v>
      </c>
      <c r="AB197" s="15" t="str">
        <f t="shared" si="81"/>
        <v/>
      </c>
      <c r="AC197" s="13" t="str">
        <f t="shared" si="82"/>
        <v/>
      </c>
      <c r="AD197" s="8" t="str">
        <f t="shared" si="83"/>
        <v/>
      </c>
      <c r="AE197" s="1"/>
      <c r="AF197" s="1"/>
      <c r="AG197" s="1"/>
    </row>
    <row r="198" spans="1:33" ht="15">
      <c r="A198" s="1">
        <f t="shared" si="72"/>
        <v>195</v>
      </c>
      <c r="B198" s="1"/>
      <c r="C198" s="1"/>
      <c r="D198" s="1"/>
      <c r="E198" s="1"/>
      <c r="F198" s="6"/>
      <c r="G198" s="5"/>
      <c r="H198" s="1"/>
      <c r="I198" s="1"/>
      <c r="J198" s="1"/>
      <c r="K198" s="1"/>
      <c r="L198" s="1"/>
      <c r="M198" s="1"/>
      <c r="N198" s="1"/>
      <c r="O198" s="1"/>
      <c r="P198" s="1"/>
      <c r="Q198" s="7"/>
      <c r="R198" s="13" t="str">
        <f t="shared" si="73"/>
        <v/>
      </c>
      <c r="S198" s="13" t="str">
        <f t="shared" si="74"/>
        <v/>
      </c>
      <c r="T198" s="14" t="str">
        <f t="shared" si="75"/>
        <v/>
      </c>
      <c r="U198" s="14">
        <v>1000</v>
      </c>
      <c r="V198" s="14">
        <v>1000</v>
      </c>
      <c r="W198" s="8">
        <f t="shared" si="76"/>
        <v>7.6999999999999999E-2</v>
      </c>
      <c r="X198" s="13" t="str">
        <f t="shared" si="77"/>
        <v/>
      </c>
      <c r="Y198" s="13" t="str">
        <f t="shared" si="78"/>
        <v/>
      </c>
      <c r="Z198" s="15" t="str">
        <f t="shared" si="79"/>
        <v/>
      </c>
      <c r="AA198" s="15">
        <f t="shared" si="80"/>
        <v>900</v>
      </c>
      <c r="AB198" s="15" t="str">
        <f t="shared" si="81"/>
        <v/>
      </c>
      <c r="AC198" s="13" t="str">
        <f t="shared" si="82"/>
        <v/>
      </c>
      <c r="AD198" s="8" t="str">
        <f t="shared" si="83"/>
        <v/>
      </c>
      <c r="AE198" s="1"/>
      <c r="AF198" s="1"/>
      <c r="AG198" s="1"/>
    </row>
    <row r="199" spans="1:33" ht="15">
      <c r="A199" s="1">
        <f t="shared" si="72"/>
        <v>196</v>
      </c>
      <c r="B199" s="1"/>
      <c r="C199" s="1"/>
      <c r="D199" s="1"/>
      <c r="E199" s="1"/>
      <c r="F199" s="6"/>
      <c r="G199" s="5"/>
      <c r="H199" s="1"/>
      <c r="I199" s="1"/>
      <c r="J199" s="1"/>
      <c r="K199" s="1"/>
      <c r="L199" s="1"/>
      <c r="M199" s="1"/>
      <c r="N199" s="1"/>
      <c r="O199" s="1"/>
      <c r="P199" s="1"/>
      <c r="Q199" s="7"/>
      <c r="R199" s="13" t="str">
        <f t="shared" si="73"/>
        <v/>
      </c>
      <c r="S199" s="13" t="str">
        <f t="shared" si="74"/>
        <v/>
      </c>
      <c r="T199" s="14" t="str">
        <f t="shared" si="75"/>
        <v/>
      </c>
      <c r="U199" s="14">
        <v>1000</v>
      </c>
      <c r="V199" s="14">
        <v>1000</v>
      </c>
      <c r="W199" s="8">
        <f t="shared" si="76"/>
        <v>7.6999999999999999E-2</v>
      </c>
      <c r="X199" s="13" t="str">
        <f t="shared" si="77"/>
        <v/>
      </c>
      <c r="Y199" s="13" t="str">
        <f t="shared" si="78"/>
        <v/>
      </c>
      <c r="Z199" s="15" t="str">
        <f t="shared" si="79"/>
        <v/>
      </c>
      <c r="AA199" s="15">
        <f t="shared" si="80"/>
        <v>900</v>
      </c>
      <c r="AB199" s="15" t="str">
        <f t="shared" si="81"/>
        <v/>
      </c>
      <c r="AC199" s="13" t="str">
        <f t="shared" si="82"/>
        <v/>
      </c>
      <c r="AD199" s="8" t="str">
        <f t="shared" si="83"/>
        <v/>
      </c>
      <c r="AE199" s="1"/>
      <c r="AF199" s="1"/>
      <c r="AG199" s="1"/>
    </row>
    <row r="200" spans="1:33" ht="15">
      <c r="A200" s="1">
        <f t="shared" si="72"/>
        <v>197</v>
      </c>
      <c r="B200" s="1"/>
      <c r="C200" s="1"/>
      <c r="D200" s="1"/>
      <c r="E200" s="1"/>
      <c r="F200" s="6"/>
      <c r="G200" s="5"/>
      <c r="H200" s="1"/>
      <c r="I200" s="1"/>
      <c r="J200" s="1"/>
      <c r="K200" s="1"/>
      <c r="L200" s="1"/>
      <c r="M200" s="1"/>
      <c r="N200" s="1"/>
      <c r="O200" s="1"/>
      <c r="P200" s="1"/>
      <c r="Q200" s="7"/>
      <c r="R200" s="13" t="str">
        <f t="shared" si="73"/>
        <v/>
      </c>
      <c r="S200" s="13" t="str">
        <f t="shared" si="74"/>
        <v/>
      </c>
      <c r="T200" s="14" t="str">
        <f t="shared" si="75"/>
        <v/>
      </c>
      <c r="U200" s="14">
        <v>1000</v>
      </c>
      <c r="V200" s="14">
        <v>1000</v>
      </c>
      <c r="W200" s="8">
        <f t="shared" si="76"/>
        <v>7.6999999999999999E-2</v>
      </c>
      <c r="X200" s="13" t="str">
        <f t="shared" si="77"/>
        <v/>
      </c>
      <c r="Y200" s="13" t="str">
        <f t="shared" si="78"/>
        <v/>
      </c>
      <c r="Z200" s="15" t="str">
        <f t="shared" si="79"/>
        <v/>
      </c>
      <c r="AA200" s="15">
        <f t="shared" si="80"/>
        <v>900</v>
      </c>
      <c r="AB200" s="15" t="str">
        <f t="shared" si="81"/>
        <v/>
      </c>
      <c r="AC200" s="13" t="str">
        <f t="shared" si="82"/>
        <v/>
      </c>
      <c r="AD200" s="8" t="str">
        <f t="shared" si="83"/>
        <v/>
      </c>
      <c r="AE200" s="1"/>
      <c r="AF200" s="1"/>
      <c r="AG200" s="1"/>
    </row>
    <row r="201" spans="1:33" ht="15">
      <c r="A201" s="1">
        <f t="shared" si="72"/>
        <v>198</v>
      </c>
      <c r="B201" s="1"/>
      <c r="C201" s="1"/>
      <c r="D201" s="1"/>
      <c r="E201" s="1"/>
      <c r="F201" s="6"/>
      <c r="G201" s="5"/>
      <c r="H201" s="1"/>
      <c r="I201" s="1"/>
      <c r="J201" s="1"/>
      <c r="K201" s="1"/>
      <c r="L201" s="1"/>
      <c r="M201" s="1"/>
      <c r="N201" s="1"/>
      <c r="O201" s="1"/>
      <c r="P201" s="1"/>
      <c r="Q201" s="7"/>
      <c r="R201" s="13" t="str">
        <f t="shared" si="73"/>
        <v/>
      </c>
      <c r="S201" s="13" t="str">
        <f t="shared" si="74"/>
        <v/>
      </c>
      <c r="T201" s="14" t="str">
        <f t="shared" si="75"/>
        <v/>
      </c>
      <c r="U201" s="14">
        <v>1000</v>
      </c>
      <c r="V201" s="14">
        <v>1000</v>
      </c>
      <c r="W201" s="8">
        <f t="shared" si="76"/>
        <v>7.6999999999999999E-2</v>
      </c>
      <c r="X201" s="13" t="str">
        <f t="shared" si="77"/>
        <v/>
      </c>
      <c r="Y201" s="13" t="str">
        <f t="shared" si="78"/>
        <v/>
      </c>
      <c r="Z201" s="15" t="str">
        <f t="shared" si="79"/>
        <v/>
      </c>
      <c r="AA201" s="15">
        <f t="shared" si="80"/>
        <v>900</v>
      </c>
      <c r="AB201" s="15" t="str">
        <f t="shared" si="81"/>
        <v/>
      </c>
      <c r="AC201" s="13" t="str">
        <f t="shared" si="82"/>
        <v/>
      </c>
      <c r="AD201" s="8" t="str">
        <f t="shared" si="83"/>
        <v/>
      </c>
      <c r="AE201" s="1"/>
      <c r="AF201" s="1"/>
      <c r="AG201" s="1"/>
    </row>
    <row r="202" spans="1:33" ht="15">
      <c r="A202" s="1">
        <f t="shared" si="72"/>
        <v>199</v>
      </c>
      <c r="B202" s="1"/>
      <c r="C202" s="1"/>
      <c r="D202" s="1"/>
      <c r="E202" s="1"/>
      <c r="F202" s="6"/>
      <c r="G202" s="5"/>
      <c r="H202" s="1"/>
      <c r="I202" s="1"/>
      <c r="J202" s="1"/>
      <c r="K202" s="1"/>
      <c r="L202" s="1"/>
      <c r="M202" s="1"/>
      <c r="N202" s="1"/>
      <c r="O202" s="1"/>
      <c r="P202" s="1"/>
      <c r="Q202" s="7"/>
      <c r="R202" s="13" t="str">
        <f t="shared" si="73"/>
        <v/>
      </c>
      <c r="S202" s="13" t="str">
        <f t="shared" si="74"/>
        <v/>
      </c>
      <c r="T202" s="14" t="str">
        <f t="shared" si="75"/>
        <v/>
      </c>
      <c r="U202" s="14">
        <v>1000</v>
      </c>
      <c r="V202" s="14">
        <v>1000</v>
      </c>
      <c r="W202" s="8">
        <f t="shared" si="76"/>
        <v>7.6999999999999999E-2</v>
      </c>
      <c r="X202" s="13" t="str">
        <f t="shared" si="77"/>
        <v/>
      </c>
      <c r="Y202" s="13" t="str">
        <f t="shared" si="78"/>
        <v/>
      </c>
      <c r="Z202" s="15" t="str">
        <f t="shared" si="79"/>
        <v/>
      </c>
      <c r="AA202" s="15">
        <f t="shared" si="80"/>
        <v>900</v>
      </c>
      <c r="AB202" s="15" t="str">
        <f t="shared" si="81"/>
        <v/>
      </c>
      <c r="AC202" s="13" t="str">
        <f t="shared" si="82"/>
        <v/>
      </c>
      <c r="AD202" s="8" t="str">
        <f t="shared" si="83"/>
        <v/>
      </c>
      <c r="AE202" s="1"/>
      <c r="AF202" s="1"/>
      <c r="AG202" s="1"/>
    </row>
    <row r="203" spans="1:33" ht="15">
      <c r="A203" s="1">
        <f t="shared" si="72"/>
        <v>200</v>
      </c>
      <c r="B203" s="1"/>
      <c r="C203" s="1"/>
      <c r="D203" s="1"/>
      <c r="E203" s="1"/>
      <c r="F203" s="6"/>
      <c r="G203" s="5"/>
      <c r="H203" s="1"/>
      <c r="I203" s="1"/>
      <c r="J203" s="1"/>
      <c r="K203" s="1"/>
      <c r="L203" s="1"/>
      <c r="M203" s="1"/>
      <c r="N203" s="1"/>
      <c r="O203" s="1"/>
      <c r="P203" s="1"/>
      <c r="Q203" s="7"/>
      <c r="R203" s="13" t="str">
        <f t="shared" si="73"/>
        <v/>
      </c>
      <c r="S203" s="13" t="str">
        <f t="shared" si="74"/>
        <v/>
      </c>
      <c r="T203" s="14" t="str">
        <f t="shared" si="75"/>
        <v/>
      </c>
      <c r="U203" s="14">
        <v>1000</v>
      </c>
      <c r="V203" s="14">
        <v>1000</v>
      </c>
      <c r="W203" s="8">
        <f t="shared" si="76"/>
        <v>7.6999999999999999E-2</v>
      </c>
      <c r="X203" s="13" t="str">
        <f t="shared" si="77"/>
        <v/>
      </c>
      <c r="Y203" s="13" t="str">
        <f t="shared" si="78"/>
        <v/>
      </c>
      <c r="Z203" s="15" t="str">
        <f t="shared" si="79"/>
        <v/>
      </c>
      <c r="AA203" s="15">
        <f t="shared" si="80"/>
        <v>900</v>
      </c>
      <c r="AB203" s="15" t="str">
        <f t="shared" si="81"/>
        <v/>
      </c>
      <c r="AC203" s="13" t="str">
        <f t="shared" si="82"/>
        <v/>
      </c>
      <c r="AD203" s="8" t="str">
        <f t="shared" si="83"/>
        <v/>
      </c>
      <c r="AE203" s="1"/>
      <c r="AF203" s="1"/>
      <c r="AG203" s="1"/>
    </row>
  </sheetData>
  <mergeCells count="3">
    <mergeCell ref="B1:P1"/>
    <mergeCell ref="Q1:AD1"/>
    <mergeCell ref="Q2:AD2"/>
  </mergeCells>
  <phoneticPr fontId="8"/>
  <conditionalFormatting sqref="AD4:AD203">
    <cfRule type="cellIs" dxfId="3" priority="1" operator="lessThan">
      <formula>0.07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設定リスト!$A$2:$A$5</xm:f>
          </x14:formula1>
          <xm:sqref>G4:G203</xm:sqref>
        </x14:dataValidation>
        <x14:dataValidation type="list" xr:uid="{00000000-0002-0000-0000-000001000000}">
          <x14:formula1>
            <xm:f>設定リスト!$B$2:$B$7</xm:f>
          </x14:formula1>
          <xm:sqref>J4:J203</xm:sqref>
        </x14:dataValidation>
        <x14:dataValidation type="list" xr:uid="{00000000-0002-0000-0000-000002000000}">
          <x14:formula1>
            <xm:f>設定リスト!$C$2:$C$7</xm:f>
          </x14:formula1>
          <xm:sqref>M4:M203</xm:sqref>
        </x14:dataValidation>
        <x14:dataValidation type="list" xr:uid="{00000000-0002-0000-0000-000003000000}">
          <x14:formula1>
            <xm:f>設定リスト!$D$2:$D$7</xm:f>
          </x14:formula1>
          <xm:sqref>O4:O203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baseColWidth="10" defaultColWidth="8.83203125" defaultRowHeight="14"/>
  <cols>
    <col min="1" max="1" width="90" customWidth="1"/>
  </cols>
  <sheetData>
    <row r="1" spans="1:1" ht="18">
      <c r="A1" s="12" t="s">
        <v>36</v>
      </c>
    </row>
    <row r="2" spans="1:1">
      <c r="A2" t="s">
        <v>37</v>
      </c>
    </row>
    <row r="3" spans="1:1">
      <c r="A3" t="s">
        <v>38</v>
      </c>
    </row>
    <row r="4" spans="1:1">
      <c r="A4" t="s">
        <v>39</v>
      </c>
    </row>
    <row r="5" spans="1:1">
      <c r="A5" t="s">
        <v>40</v>
      </c>
    </row>
    <row r="6" spans="1:1">
      <c r="A6" t="s">
        <v>41</v>
      </c>
    </row>
    <row r="7" spans="1:1">
      <c r="A7" t="s">
        <v>42</v>
      </c>
    </row>
    <row r="8" spans="1:1">
      <c r="A8" t="s">
        <v>43</v>
      </c>
    </row>
    <row r="9" spans="1:1">
      <c r="A9" t="s">
        <v>44</v>
      </c>
    </row>
    <row r="11" spans="1:1">
      <c r="A11" t="s">
        <v>45</v>
      </c>
    </row>
    <row r="12" spans="1:1">
      <c r="A12" t="s">
        <v>46</v>
      </c>
    </row>
    <row r="13" spans="1:1">
      <c r="A13" t="s">
        <v>47</v>
      </c>
    </row>
    <row r="14" spans="1:1">
      <c r="A14" t="s">
        <v>48</v>
      </c>
    </row>
    <row r="15" spans="1:1">
      <c r="A15" t="s">
        <v>49</v>
      </c>
    </row>
    <row r="16" spans="1:1">
      <c r="A16" t="s">
        <v>50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00"/>
  <sheetViews>
    <sheetView workbookViewId="0"/>
  </sheetViews>
  <sheetFormatPr baseColWidth="10" defaultColWidth="8.83203125" defaultRowHeight="14"/>
  <cols>
    <col min="1" max="1" width="6" customWidth="1"/>
    <col min="2" max="2" width="16" customWidth="1"/>
    <col min="3" max="3" width="14" customWidth="1"/>
    <col min="4" max="4" width="26" customWidth="1"/>
    <col min="5" max="5" width="18" customWidth="1"/>
    <col min="6" max="6" width="14" customWidth="1"/>
    <col min="7" max="7" width="12" customWidth="1"/>
    <col min="8" max="8" width="14" customWidth="1"/>
    <col min="9" max="9" width="18" customWidth="1"/>
    <col min="10" max="10" width="38" customWidth="1"/>
    <col min="11" max="11" width="12" customWidth="1"/>
    <col min="12" max="12" width="22" customWidth="1"/>
    <col min="13" max="15" width="12" customWidth="1"/>
    <col min="16" max="16" width="24" customWidth="1"/>
    <col min="17" max="19" width="10" customWidth="1"/>
    <col min="20" max="22" width="12" customWidth="1"/>
    <col min="23" max="23" width="14" customWidth="1"/>
    <col min="24" max="24" width="16" customWidth="1"/>
    <col min="25" max="25" width="40" customWidth="1"/>
  </cols>
  <sheetData>
    <row r="1" spans="1:25" ht="42.75" customHeight="1">
      <c r="A1" s="4" t="s">
        <v>3</v>
      </c>
      <c r="B1" s="4" t="s">
        <v>51</v>
      </c>
      <c r="C1" s="4" t="s">
        <v>4</v>
      </c>
      <c r="D1" s="4" t="s">
        <v>5</v>
      </c>
      <c r="E1" s="4" t="s">
        <v>6</v>
      </c>
      <c r="F1" s="4" t="s">
        <v>52</v>
      </c>
      <c r="G1" s="4" t="s">
        <v>53</v>
      </c>
      <c r="H1" s="4" t="s">
        <v>7</v>
      </c>
      <c r="I1" s="4" t="s">
        <v>10</v>
      </c>
      <c r="J1" s="4" t="s">
        <v>54</v>
      </c>
      <c r="K1" s="4" t="s">
        <v>12</v>
      </c>
      <c r="L1" s="4" t="s">
        <v>13</v>
      </c>
      <c r="M1" s="4" t="s">
        <v>55</v>
      </c>
      <c r="N1" s="4" t="s">
        <v>56</v>
      </c>
      <c r="O1" s="4" t="s">
        <v>57</v>
      </c>
      <c r="P1" s="4" t="s">
        <v>33</v>
      </c>
      <c r="Q1" s="4" t="s">
        <v>58</v>
      </c>
      <c r="R1" s="4" t="s">
        <v>59</v>
      </c>
      <c r="S1" s="4" t="s">
        <v>60</v>
      </c>
      <c r="T1" s="4" t="s">
        <v>61</v>
      </c>
      <c r="U1" s="4" t="s">
        <v>62</v>
      </c>
      <c r="V1" s="4" t="s">
        <v>63</v>
      </c>
      <c r="W1" s="4" t="s">
        <v>64</v>
      </c>
      <c r="X1" s="4" t="s">
        <v>17</v>
      </c>
      <c r="Y1" s="4" t="s">
        <v>18</v>
      </c>
    </row>
    <row r="2" spans="1:25">
      <c r="M2" s="16"/>
      <c r="N2" s="16"/>
      <c r="O2" s="10"/>
      <c r="T2" s="10"/>
    </row>
    <row r="3" spans="1:25">
      <c r="M3" s="16"/>
      <c r="N3" s="16"/>
      <c r="O3" s="10"/>
      <c r="T3" s="10"/>
    </row>
    <row r="4" spans="1:25">
      <c r="M4" s="16"/>
      <c r="N4" s="16"/>
      <c r="O4" s="10"/>
      <c r="T4" s="10"/>
    </row>
    <row r="5" spans="1:25">
      <c r="M5" s="16"/>
      <c r="N5" s="16"/>
      <c r="O5" s="10"/>
      <c r="T5" s="10"/>
    </row>
    <row r="6" spans="1:25">
      <c r="M6" s="16"/>
      <c r="N6" s="16"/>
      <c r="O6" s="10"/>
      <c r="T6" s="10"/>
    </row>
    <row r="7" spans="1:25">
      <c r="M7" s="16"/>
      <c r="N7" s="16"/>
      <c r="O7" s="10"/>
      <c r="T7" s="10"/>
    </row>
    <row r="8" spans="1:25">
      <c r="M8" s="16"/>
      <c r="N8" s="16"/>
      <c r="O8" s="10"/>
      <c r="T8" s="10"/>
    </row>
    <row r="9" spans="1:25">
      <c r="M9" s="16"/>
      <c r="N9" s="16"/>
      <c r="O9" s="10"/>
      <c r="T9" s="10"/>
    </row>
    <row r="10" spans="1:25">
      <c r="M10" s="16"/>
      <c r="N10" s="16"/>
      <c r="O10" s="10"/>
      <c r="T10" s="10"/>
    </row>
    <row r="11" spans="1:25">
      <c r="M11" s="16"/>
      <c r="N11" s="16"/>
      <c r="O11" s="10"/>
      <c r="T11" s="10"/>
    </row>
    <row r="12" spans="1:25">
      <c r="M12" s="16"/>
      <c r="N12" s="16"/>
      <c r="O12" s="10"/>
      <c r="T12" s="10"/>
    </row>
    <row r="13" spans="1:25">
      <c r="M13" s="16"/>
      <c r="N13" s="16"/>
      <c r="O13" s="10"/>
      <c r="T13" s="10"/>
    </row>
    <row r="14" spans="1:25">
      <c r="M14" s="16"/>
      <c r="N14" s="16"/>
      <c r="O14" s="10"/>
      <c r="T14" s="10"/>
    </row>
    <row r="15" spans="1:25">
      <c r="M15" s="16"/>
      <c r="N15" s="16"/>
      <c r="O15" s="10"/>
      <c r="T15" s="10"/>
    </row>
    <row r="16" spans="1:25">
      <c r="M16" s="16"/>
      <c r="N16" s="16"/>
      <c r="O16" s="10"/>
      <c r="T16" s="10"/>
    </row>
    <row r="17" spans="13:20">
      <c r="M17" s="16"/>
      <c r="N17" s="16"/>
      <c r="O17" s="10"/>
      <c r="T17" s="10"/>
    </row>
    <row r="18" spans="13:20">
      <c r="M18" s="16"/>
      <c r="N18" s="16"/>
      <c r="O18" s="10"/>
      <c r="T18" s="10"/>
    </row>
    <row r="19" spans="13:20">
      <c r="M19" s="16"/>
      <c r="N19" s="16"/>
      <c r="O19" s="10"/>
      <c r="T19" s="10"/>
    </row>
    <row r="20" spans="13:20">
      <c r="M20" s="16"/>
      <c r="N20" s="16"/>
      <c r="O20" s="10"/>
      <c r="T20" s="10"/>
    </row>
    <row r="21" spans="13:20">
      <c r="M21" s="16"/>
      <c r="N21" s="16"/>
      <c r="O21" s="10"/>
      <c r="T21" s="10"/>
    </row>
    <row r="22" spans="13:20">
      <c r="M22" s="16"/>
      <c r="N22" s="16"/>
      <c r="O22" s="10"/>
      <c r="T22" s="10"/>
    </row>
    <row r="23" spans="13:20">
      <c r="M23" s="16"/>
      <c r="N23" s="16"/>
      <c r="O23" s="10"/>
      <c r="T23" s="10"/>
    </row>
    <row r="24" spans="13:20">
      <c r="M24" s="16"/>
      <c r="N24" s="16"/>
      <c r="O24" s="10"/>
      <c r="T24" s="10"/>
    </row>
    <row r="25" spans="13:20">
      <c r="M25" s="16"/>
      <c r="N25" s="16"/>
      <c r="O25" s="10"/>
      <c r="T25" s="10"/>
    </row>
    <row r="26" spans="13:20">
      <c r="M26" s="16"/>
      <c r="N26" s="16"/>
      <c r="O26" s="10"/>
      <c r="T26" s="10"/>
    </row>
    <row r="27" spans="13:20">
      <c r="M27" s="16"/>
      <c r="N27" s="16"/>
      <c r="O27" s="10"/>
      <c r="T27" s="10"/>
    </row>
    <row r="28" spans="13:20">
      <c r="M28" s="16"/>
      <c r="N28" s="16"/>
      <c r="O28" s="10"/>
      <c r="T28" s="10"/>
    </row>
    <row r="29" spans="13:20">
      <c r="M29" s="16"/>
      <c r="N29" s="16"/>
      <c r="O29" s="10"/>
      <c r="T29" s="10"/>
    </row>
    <row r="30" spans="13:20">
      <c r="M30" s="16"/>
      <c r="N30" s="16"/>
      <c r="O30" s="10"/>
      <c r="T30" s="10"/>
    </row>
    <row r="31" spans="13:20">
      <c r="M31" s="16"/>
      <c r="N31" s="16"/>
      <c r="O31" s="10"/>
      <c r="T31" s="10"/>
    </row>
    <row r="32" spans="13:20">
      <c r="M32" s="16"/>
      <c r="N32" s="16"/>
      <c r="O32" s="10"/>
      <c r="T32" s="10"/>
    </row>
    <row r="33" spans="13:20">
      <c r="M33" s="16"/>
      <c r="N33" s="16"/>
      <c r="O33" s="10"/>
      <c r="T33" s="10"/>
    </row>
    <row r="34" spans="13:20">
      <c r="M34" s="16"/>
      <c r="N34" s="16"/>
      <c r="O34" s="10"/>
      <c r="T34" s="10"/>
    </row>
    <row r="35" spans="13:20">
      <c r="M35" s="16"/>
      <c r="N35" s="16"/>
      <c r="O35" s="10"/>
      <c r="T35" s="10"/>
    </row>
    <row r="36" spans="13:20">
      <c r="M36" s="16"/>
      <c r="N36" s="16"/>
      <c r="O36" s="10"/>
      <c r="T36" s="10"/>
    </row>
    <row r="37" spans="13:20">
      <c r="M37" s="16"/>
      <c r="N37" s="16"/>
      <c r="O37" s="10"/>
      <c r="T37" s="10"/>
    </row>
    <row r="38" spans="13:20">
      <c r="M38" s="16"/>
      <c r="N38" s="16"/>
      <c r="O38" s="10"/>
      <c r="T38" s="10"/>
    </row>
    <row r="39" spans="13:20">
      <c r="M39" s="16"/>
      <c r="N39" s="16"/>
      <c r="O39" s="10"/>
      <c r="T39" s="10"/>
    </row>
    <row r="40" spans="13:20">
      <c r="M40" s="16"/>
      <c r="N40" s="16"/>
      <c r="O40" s="10"/>
      <c r="T40" s="10"/>
    </row>
    <row r="41" spans="13:20">
      <c r="M41" s="16"/>
      <c r="N41" s="16"/>
      <c r="O41" s="10"/>
      <c r="T41" s="10"/>
    </row>
    <row r="42" spans="13:20">
      <c r="M42" s="16"/>
      <c r="N42" s="16"/>
      <c r="O42" s="10"/>
      <c r="T42" s="10"/>
    </row>
    <row r="43" spans="13:20">
      <c r="M43" s="16"/>
      <c r="N43" s="16"/>
      <c r="O43" s="10"/>
      <c r="T43" s="10"/>
    </row>
    <row r="44" spans="13:20">
      <c r="M44" s="16"/>
      <c r="N44" s="16"/>
      <c r="O44" s="10"/>
      <c r="T44" s="10"/>
    </row>
    <row r="45" spans="13:20">
      <c r="M45" s="16"/>
      <c r="N45" s="16"/>
      <c r="O45" s="10"/>
      <c r="T45" s="10"/>
    </row>
    <row r="46" spans="13:20">
      <c r="M46" s="16"/>
      <c r="N46" s="16"/>
      <c r="O46" s="10"/>
      <c r="T46" s="10"/>
    </row>
    <row r="47" spans="13:20">
      <c r="M47" s="16"/>
      <c r="N47" s="16"/>
      <c r="O47" s="10"/>
      <c r="T47" s="10"/>
    </row>
    <row r="48" spans="13:20">
      <c r="M48" s="16"/>
      <c r="N48" s="16"/>
      <c r="O48" s="10"/>
      <c r="T48" s="10"/>
    </row>
    <row r="49" spans="13:20">
      <c r="M49" s="16"/>
      <c r="N49" s="16"/>
      <c r="O49" s="10"/>
      <c r="T49" s="10"/>
    </row>
    <row r="50" spans="13:20">
      <c r="M50" s="16"/>
      <c r="N50" s="16"/>
      <c r="O50" s="10"/>
      <c r="T50" s="10"/>
    </row>
    <row r="51" spans="13:20">
      <c r="M51" s="16"/>
      <c r="N51" s="16"/>
      <c r="O51" s="10"/>
      <c r="T51" s="10"/>
    </row>
    <row r="52" spans="13:20">
      <c r="M52" s="16"/>
      <c r="N52" s="16"/>
      <c r="O52" s="10"/>
      <c r="T52" s="10"/>
    </row>
    <row r="53" spans="13:20">
      <c r="M53" s="16"/>
      <c r="N53" s="16"/>
      <c r="O53" s="10"/>
      <c r="T53" s="10"/>
    </row>
    <row r="54" spans="13:20">
      <c r="M54" s="16"/>
      <c r="N54" s="16"/>
      <c r="O54" s="10"/>
      <c r="T54" s="10"/>
    </row>
    <row r="55" spans="13:20">
      <c r="M55" s="16"/>
      <c r="N55" s="16"/>
      <c r="O55" s="10"/>
      <c r="T55" s="10"/>
    </row>
    <row r="56" spans="13:20">
      <c r="M56" s="16"/>
      <c r="N56" s="16"/>
      <c r="O56" s="10"/>
      <c r="T56" s="10"/>
    </row>
    <row r="57" spans="13:20">
      <c r="M57" s="16"/>
      <c r="N57" s="16"/>
      <c r="O57" s="10"/>
      <c r="T57" s="10"/>
    </row>
    <row r="58" spans="13:20">
      <c r="M58" s="16"/>
      <c r="N58" s="16"/>
      <c r="O58" s="10"/>
      <c r="T58" s="10"/>
    </row>
    <row r="59" spans="13:20">
      <c r="M59" s="16"/>
      <c r="N59" s="16"/>
      <c r="O59" s="10"/>
      <c r="T59" s="10"/>
    </row>
    <row r="60" spans="13:20">
      <c r="M60" s="16"/>
      <c r="N60" s="16"/>
      <c r="O60" s="10"/>
      <c r="T60" s="10"/>
    </row>
    <row r="61" spans="13:20">
      <c r="M61" s="16"/>
      <c r="N61" s="16"/>
      <c r="O61" s="10"/>
      <c r="T61" s="10"/>
    </row>
    <row r="62" spans="13:20">
      <c r="M62" s="16"/>
      <c r="N62" s="16"/>
      <c r="O62" s="10"/>
      <c r="T62" s="10"/>
    </row>
    <row r="63" spans="13:20">
      <c r="M63" s="16"/>
      <c r="N63" s="16"/>
      <c r="O63" s="10"/>
      <c r="T63" s="10"/>
    </row>
    <row r="64" spans="13:20">
      <c r="M64" s="16"/>
      <c r="N64" s="16"/>
      <c r="O64" s="10"/>
      <c r="T64" s="10"/>
    </row>
    <row r="65" spans="13:20">
      <c r="M65" s="16"/>
      <c r="N65" s="16"/>
      <c r="O65" s="10"/>
      <c r="T65" s="10"/>
    </row>
    <row r="66" spans="13:20">
      <c r="M66" s="16"/>
      <c r="N66" s="16"/>
      <c r="O66" s="10"/>
      <c r="T66" s="10"/>
    </row>
    <row r="67" spans="13:20">
      <c r="M67" s="16"/>
      <c r="N67" s="16"/>
      <c r="O67" s="10"/>
      <c r="T67" s="10"/>
    </row>
    <row r="68" spans="13:20">
      <c r="M68" s="16"/>
      <c r="N68" s="16"/>
      <c r="O68" s="10"/>
      <c r="T68" s="10"/>
    </row>
    <row r="69" spans="13:20">
      <c r="M69" s="16"/>
      <c r="N69" s="16"/>
      <c r="O69" s="10"/>
      <c r="T69" s="10"/>
    </row>
    <row r="70" spans="13:20">
      <c r="M70" s="16"/>
      <c r="N70" s="16"/>
      <c r="O70" s="10"/>
      <c r="T70" s="10"/>
    </row>
    <row r="71" spans="13:20">
      <c r="M71" s="16"/>
      <c r="N71" s="16"/>
      <c r="O71" s="10"/>
      <c r="T71" s="10"/>
    </row>
    <row r="72" spans="13:20">
      <c r="M72" s="16"/>
      <c r="N72" s="16"/>
      <c r="O72" s="10"/>
      <c r="T72" s="10"/>
    </row>
    <row r="73" spans="13:20">
      <c r="M73" s="16"/>
      <c r="N73" s="16"/>
      <c r="O73" s="10"/>
      <c r="T73" s="10"/>
    </row>
    <row r="74" spans="13:20">
      <c r="M74" s="16"/>
      <c r="N74" s="16"/>
      <c r="O74" s="10"/>
      <c r="T74" s="10"/>
    </row>
    <row r="75" spans="13:20">
      <c r="M75" s="16"/>
      <c r="N75" s="16"/>
      <c r="O75" s="10"/>
      <c r="T75" s="10"/>
    </row>
    <row r="76" spans="13:20">
      <c r="M76" s="16"/>
      <c r="N76" s="16"/>
      <c r="O76" s="10"/>
      <c r="T76" s="10"/>
    </row>
    <row r="77" spans="13:20">
      <c r="M77" s="16"/>
      <c r="N77" s="16"/>
      <c r="O77" s="10"/>
      <c r="T77" s="10"/>
    </row>
    <row r="78" spans="13:20">
      <c r="M78" s="16"/>
      <c r="N78" s="16"/>
      <c r="O78" s="10"/>
      <c r="T78" s="10"/>
    </row>
    <row r="79" spans="13:20">
      <c r="M79" s="16"/>
      <c r="N79" s="16"/>
      <c r="O79" s="10"/>
      <c r="T79" s="10"/>
    </row>
    <row r="80" spans="13:20">
      <c r="M80" s="16"/>
      <c r="N80" s="16"/>
      <c r="O80" s="10"/>
      <c r="T80" s="10"/>
    </row>
    <row r="81" spans="13:20">
      <c r="M81" s="16"/>
      <c r="N81" s="16"/>
      <c r="O81" s="10"/>
      <c r="T81" s="10"/>
    </row>
    <row r="82" spans="13:20">
      <c r="M82" s="16"/>
      <c r="N82" s="16"/>
      <c r="O82" s="10"/>
      <c r="T82" s="10"/>
    </row>
    <row r="83" spans="13:20">
      <c r="M83" s="16"/>
      <c r="N83" s="16"/>
      <c r="O83" s="10"/>
      <c r="T83" s="10"/>
    </row>
    <row r="84" spans="13:20">
      <c r="M84" s="16"/>
      <c r="N84" s="16"/>
      <c r="O84" s="10"/>
      <c r="T84" s="10"/>
    </row>
    <row r="85" spans="13:20">
      <c r="M85" s="16"/>
      <c r="N85" s="16"/>
      <c r="O85" s="10"/>
      <c r="T85" s="10"/>
    </row>
    <row r="86" spans="13:20">
      <c r="M86" s="16"/>
      <c r="N86" s="16"/>
      <c r="O86" s="10"/>
      <c r="T86" s="10"/>
    </row>
    <row r="87" spans="13:20">
      <c r="M87" s="16"/>
      <c r="N87" s="16"/>
      <c r="O87" s="10"/>
      <c r="T87" s="10"/>
    </row>
    <row r="88" spans="13:20">
      <c r="M88" s="16"/>
      <c r="N88" s="16"/>
      <c r="O88" s="10"/>
      <c r="T88" s="10"/>
    </row>
    <row r="89" spans="13:20">
      <c r="M89" s="16"/>
      <c r="N89" s="16"/>
      <c r="O89" s="10"/>
      <c r="T89" s="10"/>
    </row>
    <row r="90" spans="13:20">
      <c r="M90" s="16"/>
      <c r="N90" s="16"/>
      <c r="O90" s="10"/>
      <c r="T90" s="10"/>
    </row>
    <row r="91" spans="13:20">
      <c r="M91" s="16"/>
      <c r="N91" s="16"/>
      <c r="O91" s="10"/>
      <c r="T91" s="10"/>
    </row>
    <row r="92" spans="13:20">
      <c r="M92" s="16"/>
      <c r="N92" s="16"/>
      <c r="O92" s="10"/>
      <c r="T92" s="10"/>
    </row>
    <row r="93" spans="13:20">
      <c r="M93" s="16"/>
      <c r="N93" s="16"/>
      <c r="O93" s="10"/>
      <c r="T93" s="10"/>
    </row>
    <row r="94" spans="13:20">
      <c r="M94" s="16"/>
      <c r="N94" s="16"/>
      <c r="O94" s="10"/>
      <c r="T94" s="10"/>
    </row>
    <row r="95" spans="13:20">
      <c r="M95" s="16"/>
      <c r="N95" s="16"/>
      <c r="O95" s="10"/>
      <c r="T95" s="10"/>
    </row>
    <row r="96" spans="13:20">
      <c r="M96" s="16"/>
      <c r="N96" s="16"/>
      <c r="O96" s="10"/>
      <c r="T96" s="10"/>
    </row>
    <row r="97" spans="13:20">
      <c r="M97" s="16"/>
      <c r="N97" s="16"/>
      <c r="O97" s="10"/>
      <c r="T97" s="10"/>
    </row>
    <row r="98" spans="13:20">
      <c r="M98" s="16"/>
      <c r="N98" s="16"/>
      <c r="O98" s="10"/>
      <c r="T98" s="10"/>
    </row>
    <row r="99" spans="13:20">
      <c r="M99" s="16"/>
      <c r="N99" s="16"/>
      <c r="O99" s="10"/>
      <c r="T99" s="10"/>
    </row>
    <row r="100" spans="13:20">
      <c r="M100" s="16"/>
      <c r="N100" s="16"/>
      <c r="O100" s="10"/>
      <c r="T100" s="10"/>
    </row>
    <row r="101" spans="13:20">
      <c r="M101" s="16"/>
      <c r="N101" s="16"/>
      <c r="O101" s="10"/>
      <c r="T101" s="10"/>
    </row>
    <row r="102" spans="13:20">
      <c r="M102" s="16"/>
      <c r="N102" s="16"/>
      <c r="O102" s="10"/>
      <c r="T102" s="10"/>
    </row>
    <row r="103" spans="13:20">
      <c r="M103" s="16"/>
      <c r="N103" s="16"/>
      <c r="O103" s="10"/>
      <c r="T103" s="10"/>
    </row>
    <row r="104" spans="13:20">
      <c r="M104" s="16"/>
      <c r="N104" s="16"/>
      <c r="O104" s="10"/>
      <c r="T104" s="10"/>
    </row>
    <row r="105" spans="13:20">
      <c r="M105" s="16"/>
      <c r="N105" s="16"/>
      <c r="O105" s="10"/>
      <c r="T105" s="10"/>
    </row>
    <row r="106" spans="13:20">
      <c r="M106" s="16"/>
      <c r="N106" s="16"/>
      <c r="O106" s="10"/>
      <c r="T106" s="10"/>
    </row>
    <row r="107" spans="13:20">
      <c r="M107" s="16"/>
      <c r="N107" s="16"/>
      <c r="O107" s="10"/>
      <c r="T107" s="10"/>
    </row>
    <row r="108" spans="13:20">
      <c r="M108" s="16"/>
      <c r="N108" s="16"/>
      <c r="O108" s="10"/>
      <c r="T108" s="10"/>
    </row>
    <row r="109" spans="13:20">
      <c r="M109" s="16"/>
      <c r="N109" s="16"/>
      <c r="O109" s="10"/>
      <c r="T109" s="10"/>
    </row>
    <row r="110" spans="13:20">
      <c r="M110" s="16"/>
      <c r="N110" s="16"/>
      <c r="O110" s="10"/>
      <c r="T110" s="10"/>
    </row>
    <row r="111" spans="13:20">
      <c r="M111" s="16"/>
      <c r="N111" s="16"/>
      <c r="O111" s="10"/>
      <c r="T111" s="10"/>
    </row>
    <row r="112" spans="13:20">
      <c r="M112" s="16"/>
      <c r="N112" s="16"/>
      <c r="O112" s="10"/>
      <c r="T112" s="10"/>
    </row>
    <row r="113" spans="13:20">
      <c r="M113" s="16"/>
      <c r="N113" s="16"/>
      <c r="O113" s="10"/>
      <c r="T113" s="10"/>
    </row>
    <row r="114" spans="13:20">
      <c r="M114" s="16"/>
      <c r="N114" s="16"/>
      <c r="O114" s="10"/>
      <c r="T114" s="10"/>
    </row>
    <row r="115" spans="13:20">
      <c r="M115" s="16"/>
      <c r="N115" s="16"/>
      <c r="O115" s="10"/>
      <c r="T115" s="10"/>
    </row>
    <row r="116" spans="13:20">
      <c r="M116" s="16"/>
      <c r="N116" s="16"/>
      <c r="O116" s="10"/>
      <c r="T116" s="10"/>
    </row>
    <row r="117" spans="13:20">
      <c r="M117" s="16"/>
      <c r="N117" s="16"/>
      <c r="O117" s="10"/>
      <c r="T117" s="10"/>
    </row>
    <row r="118" spans="13:20">
      <c r="M118" s="16"/>
      <c r="N118" s="16"/>
      <c r="O118" s="10"/>
      <c r="T118" s="10"/>
    </row>
    <row r="119" spans="13:20">
      <c r="M119" s="16"/>
      <c r="N119" s="16"/>
      <c r="O119" s="10"/>
      <c r="T119" s="10"/>
    </row>
    <row r="120" spans="13:20">
      <c r="M120" s="16"/>
      <c r="N120" s="16"/>
      <c r="O120" s="10"/>
      <c r="T120" s="10"/>
    </row>
    <row r="121" spans="13:20">
      <c r="M121" s="16"/>
      <c r="N121" s="16"/>
      <c r="O121" s="10"/>
      <c r="T121" s="10"/>
    </row>
    <row r="122" spans="13:20">
      <c r="M122" s="16"/>
      <c r="N122" s="16"/>
      <c r="O122" s="10"/>
      <c r="T122" s="10"/>
    </row>
    <row r="123" spans="13:20">
      <c r="M123" s="16"/>
      <c r="N123" s="16"/>
      <c r="O123" s="10"/>
      <c r="T123" s="10"/>
    </row>
    <row r="124" spans="13:20">
      <c r="M124" s="16"/>
      <c r="N124" s="16"/>
      <c r="O124" s="10"/>
      <c r="T124" s="10"/>
    </row>
    <row r="125" spans="13:20">
      <c r="M125" s="16"/>
      <c r="N125" s="16"/>
      <c r="O125" s="10"/>
      <c r="T125" s="10"/>
    </row>
    <row r="126" spans="13:20">
      <c r="M126" s="16"/>
      <c r="N126" s="16"/>
      <c r="O126" s="10"/>
      <c r="T126" s="10"/>
    </row>
    <row r="127" spans="13:20">
      <c r="M127" s="16"/>
      <c r="N127" s="16"/>
      <c r="O127" s="10"/>
      <c r="T127" s="10"/>
    </row>
    <row r="128" spans="13:20">
      <c r="M128" s="16"/>
      <c r="N128" s="16"/>
      <c r="O128" s="10"/>
      <c r="T128" s="10"/>
    </row>
    <row r="129" spans="13:20">
      <c r="M129" s="16"/>
      <c r="N129" s="16"/>
      <c r="O129" s="10"/>
      <c r="T129" s="10"/>
    </row>
    <row r="130" spans="13:20">
      <c r="M130" s="16"/>
      <c r="N130" s="16"/>
      <c r="O130" s="10"/>
      <c r="T130" s="10"/>
    </row>
    <row r="131" spans="13:20">
      <c r="M131" s="16"/>
      <c r="N131" s="16"/>
      <c r="O131" s="10"/>
      <c r="T131" s="10"/>
    </row>
    <row r="132" spans="13:20">
      <c r="M132" s="16"/>
      <c r="N132" s="16"/>
      <c r="O132" s="10"/>
      <c r="T132" s="10"/>
    </row>
    <row r="133" spans="13:20">
      <c r="M133" s="16"/>
      <c r="N133" s="16"/>
      <c r="O133" s="10"/>
      <c r="T133" s="10"/>
    </row>
    <row r="134" spans="13:20">
      <c r="M134" s="16"/>
      <c r="N134" s="16"/>
      <c r="O134" s="10"/>
      <c r="T134" s="10"/>
    </row>
    <row r="135" spans="13:20">
      <c r="M135" s="16"/>
      <c r="N135" s="16"/>
      <c r="O135" s="10"/>
      <c r="T135" s="10"/>
    </row>
    <row r="136" spans="13:20">
      <c r="M136" s="16"/>
      <c r="N136" s="16"/>
      <c r="O136" s="10"/>
      <c r="T136" s="10"/>
    </row>
    <row r="137" spans="13:20">
      <c r="M137" s="16"/>
      <c r="N137" s="16"/>
      <c r="O137" s="10"/>
      <c r="T137" s="10"/>
    </row>
    <row r="138" spans="13:20">
      <c r="M138" s="16"/>
      <c r="N138" s="16"/>
      <c r="O138" s="10"/>
      <c r="T138" s="10"/>
    </row>
    <row r="139" spans="13:20">
      <c r="M139" s="16"/>
      <c r="N139" s="16"/>
      <c r="O139" s="10"/>
      <c r="T139" s="10"/>
    </row>
    <row r="140" spans="13:20">
      <c r="M140" s="16"/>
      <c r="N140" s="16"/>
      <c r="O140" s="10"/>
      <c r="T140" s="10"/>
    </row>
    <row r="141" spans="13:20">
      <c r="M141" s="16"/>
      <c r="N141" s="16"/>
      <c r="O141" s="10"/>
      <c r="T141" s="10"/>
    </row>
    <row r="142" spans="13:20">
      <c r="M142" s="16"/>
      <c r="N142" s="16"/>
      <c r="O142" s="10"/>
      <c r="T142" s="10"/>
    </row>
    <row r="143" spans="13:20">
      <c r="M143" s="16"/>
      <c r="N143" s="16"/>
      <c r="O143" s="10"/>
      <c r="T143" s="10"/>
    </row>
    <row r="144" spans="13:20">
      <c r="M144" s="16"/>
      <c r="N144" s="16"/>
      <c r="O144" s="10"/>
      <c r="T144" s="10"/>
    </row>
    <row r="145" spans="13:20">
      <c r="M145" s="16"/>
      <c r="N145" s="16"/>
      <c r="O145" s="10"/>
      <c r="T145" s="10"/>
    </row>
    <row r="146" spans="13:20">
      <c r="M146" s="16"/>
      <c r="N146" s="16"/>
      <c r="O146" s="10"/>
      <c r="T146" s="10"/>
    </row>
    <row r="147" spans="13:20">
      <c r="M147" s="16"/>
      <c r="N147" s="16"/>
      <c r="O147" s="10"/>
      <c r="T147" s="10"/>
    </row>
    <row r="148" spans="13:20">
      <c r="M148" s="16"/>
      <c r="N148" s="16"/>
      <c r="O148" s="10"/>
      <c r="T148" s="10"/>
    </row>
    <row r="149" spans="13:20">
      <c r="M149" s="16"/>
      <c r="N149" s="16"/>
      <c r="O149" s="10"/>
      <c r="T149" s="10"/>
    </row>
    <row r="150" spans="13:20">
      <c r="M150" s="16"/>
      <c r="N150" s="16"/>
      <c r="O150" s="10"/>
      <c r="T150" s="10"/>
    </row>
    <row r="151" spans="13:20">
      <c r="M151" s="16"/>
      <c r="N151" s="16"/>
      <c r="O151" s="10"/>
      <c r="T151" s="10"/>
    </row>
    <row r="152" spans="13:20">
      <c r="M152" s="16"/>
      <c r="N152" s="16"/>
      <c r="O152" s="10"/>
      <c r="T152" s="10"/>
    </row>
    <row r="153" spans="13:20">
      <c r="M153" s="16"/>
      <c r="N153" s="16"/>
      <c r="O153" s="10"/>
      <c r="T153" s="10"/>
    </row>
    <row r="154" spans="13:20">
      <c r="M154" s="16"/>
      <c r="N154" s="16"/>
      <c r="O154" s="10"/>
      <c r="T154" s="10"/>
    </row>
    <row r="155" spans="13:20">
      <c r="M155" s="16"/>
      <c r="N155" s="16"/>
      <c r="O155" s="10"/>
      <c r="T155" s="10"/>
    </row>
    <row r="156" spans="13:20">
      <c r="M156" s="16"/>
      <c r="N156" s="16"/>
      <c r="O156" s="10"/>
      <c r="T156" s="10"/>
    </row>
    <row r="157" spans="13:20">
      <c r="M157" s="16"/>
      <c r="N157" s="16"/>
      <c r="O157" s="10"/>
      <c r="T157" s="10"/>
    </row>
    <row r="158" spans="13:20">
      <c r="M158" s="16"/>
      <c r="N158" s="16"/>
      <c r="O158" s="10"/>
      <c r="T158" s="10"/>
    </row>
    <row r="159" spans="13:20">
      <c r="M159" s="16"/>
      <c r="N159" s="16"/>
      <c r="O159" s="10"/>
      <c r="T159" s="10"/>
    </row>
    <row r="160" spans="13:20">
      <c r="M160" s="16"/>
      <c r="N160" s="16"/>
      <c r="O160" s="10"/>
      <c r="T160" s="10"/>
    </row>
    <row r="161" spans="13:20">
      <c r="M161" s="16"/>
      <c r="N161" s="16"/>
      <c r="O161" s="10"/>
      <c r="T161" s="10"/>
    </row>
    <row r="162" spans="13:20">
      <c r="M162" s="16"/>
      <c r="N162" s="16"/>
      <c r="O162" s="10"/>
      <c r="T162" s="10"/>
    </row>
    <row r="163" spans="13:20">
      <c r="M163" s="16"/>
      <c r="N163" s="16"/>
      <c r="O163" s="10"/>
      <c r="T163" s="10"/>
    </row>
    <row r="164" spans="13:20">
      <c r="M164" s="16"/>
      <c r="N164" s="16"/>
      <c r="O164" s="10"/>
      <c r="T164" s="10"/>
    </row>
    <row r="165" spans="13:20">
      <c r="M165" s="16"/>
      <c r="N165" s="16"/>
      <c r="O165" s="10"/>
      <c r="T165" s="10"/>
    </row>
    <row r="166" spans="13:20">
      <c r="M166" s="16"/>
      <c r="N166" s="16"/>
      <c r="O166" s="10"/>
      <c r="T166" s="10"/>
    </row>
    <row r="167" spans="13:20">
      <c r="M167" s="16"/>
      <c r="N167" s="16"/>
      <c r="O167" s="10"/>
      <c r="T167" s="10"/>
    </row>
    <row r="168" spans="13:20">
      <c r="M168" s="16"/>
      <c r="N168" s="16"/>
      <c r="O168" s="10"/>
      <c r="T168" s="10"/>
    </row>
    <row r="169" spans="13:20">
      <c r="M169" s="16"/>
      <c r="N169" s="16"/>
      <c r="O169" s="10"/>
      <c r="T169" s="10"/>
    </row>
    <row r="170" spans="13:20">
      <c r="M170" s="16"/>
      <c r="N170" s="16"/>
      <c r="O170" s="10"/>
      <c r="T170" s="10"/>
    </row>
    <row r="171" spans="13:20">
      <c r="M171" s="16"/>
      <c r="N171" s="16"/>
      <c r="O171" s="10"/>
      <c r="T171" s="10"/>
    </row>
    <row r="172" spans="13:20">
      <c r="M172" s="16"/>
      <c r="N172" s="16"/>
      <c r="O172" s="10"/>
      <c r="T172" s="10"/>
    </row>
    <row r="173" spans="13:20">
      <c r="M173" s="16"/>
      <c r="N173" s="16"/>
      <c r="O173" s="10"/>
      <c r="T173" s="10"/>
    </row>
    <row r="174" spans="13:20">
      <c r="M174" s="16"/>
      <c r="N174" s="16"/>
      <c r="O174" s="10"/>
      <c r="T174" s="10"/>
    </row>
    <row r="175" spans="13:20">
      <c r="M175" s="16"/>
      <c r="N175" s="16"/>
      <c r="O175" s="10"/>
      <c r="T175" s="10"/>
    </row>
    <row r="176" spans="13:20">
      <c r="M176" s="16"/>
      <c r="N176" s="16"/>
      <c r="O176" s="10"/>
      <c r="T176" s="10"/>
    </row>
    <row r="177" spans="13:20">
      <c r="M177" s="16"/>
      <c r="N177" s="16"/>
      <c r="O177" s="10"/>
      <c r="T177" s="10"/>
    </row>
    <row r="178" spans="13:20">
      <c r="M178" s="16"/>
      <c r="N178" s="16"/>
      <c r="O178" s="10"/>
      <c r="T178" s="10"/>
    </row>
    <row r="179" spans="13:20">
      <c r="M179" s="16"/>
      <c r="N179" s="16"/>
      <c r="O179" s="10"/>
      <c r="T179" s="10"/>
    </row>
    <row r="180" spans="13:20">
      <c r="M180" s="16"/>
      <c r="N180" s="16"/>
      <c r="O180" s="10"/>
      <c r="T180" s="10"/>
    </row>
    <row r="181" spans="13:20">
      <c r="M181" s="16"/>
      <c r="N181" s="16"/>
      <c r="O181" s="10"/>
      <c r="T181" s="10"/>
    </row>
    <row r="182" spans="13:20">
      <c r="M182" s="16"/>
      <c r="N182" s="16"/>
      <c r="O182" s="10"/>
      <c r="T182" s="10"/>
    </row>
    <row r="183" spans="13:20">
      <c r="M183" s="16"/>
      <c r="N183" s="16"/>
      <c r="O183" s="10"/>
      <c r="T183" s="10"/>
    </row>
    <row r="184" spans="13:20">
      <c r="M184" s="16"/>
      <c r="N184" s="16"/>
      <c r="O184" s="10"/>
      <c r="T184" s="10"/>
    </row>
    <row r="185" spans="13:20">
      <c r="M185" s="16"/>
      <c r="N185" s="16"/>
      <c r="O185" s="10"/>
      <c r="T185" s="10"/>
    </row>
    <row r="186" spans="13:20">
      <c r="M186" s="16"/>
      <c r="N186" s="16"/>
      <c r="O186" s="10"/>
      <c r="T186" s="10"/>
    </row>
    <row r="187" spans="13:20">
      <c r="M187" s="16"/>
      <c r="N187" s="16"/>
      <c r="O187" s="10"/>
      <c r="T187" s="10"/>
    </row>
    <row r="188" spans="13:20">
      <c r="M188" s="16"/>
      <c r="N188" s="16"/>
      <c r="O188" s="10"/>
      <c r="T188" s="10"/>
    </row>
    <row r="189" spans="13:20">
      <c r="M189" s="16"/>
      <c r="N189" s="16"/>
      <c r="O189" s="10"/>
      <c r="T189" s="10"/>
    </row>
    <row r="190" spans="13:20">
      <c r="M190" s="16"/>
      <c r="N190" s="16"/>
      <c r="O190" s="10"/>
      <c r="T190" s="10"/>
    </row>
    <row r="191" spans="13:20">
      <c r="M191" s="16"/>
      <c r="N191" s="16"/>
      <c r="O191" s="10"/>
      <c r="T191" s="10"/>
    </row>
    <row r="192" spans="13:20">
      <c r="M192" s="16"/>
      <c r="N192" s="16"/>
      <c r="O192" s="10"/>
      <c r="T192" s="10"/>
    </row>
    <row r="193" spans="13:20">
      <c r="M193" s="16"/>
      <c r="N193" s="16"/>
      <c r="O193" s="10"/>
      <c r="T193" s="10"/>
    </row>
    <row r="194" spans="13:20">
      <c r="M194" s="16"/>
      <c r="N194" s="16"/>
      <c r="O194" s="10"/>
      <c r="T194" s="10"/>
    </row>
    <row r="195" spans="13:20">
      <c r="M195" s="16"/>
      <c r="N195" s="16"/>
      <c r="O195" s="10"/>
      <c r="T195" s="10"/>
    </row>
    <row r="196" spans="13:20">
      <c r="M196" s="16"/>
      <c r="N196" s="16"/>
      <c r="O196" s="10"/>
      <c r="T196" s="10"/>
    </row>
    <row r="197" spans="13:20">
      <c r="M197" s="16"/>
      <c r="N197" s="16"/>
      <c r="O197" s="10"/>
      <c r="T197" s="10"/>
    </row>
    <row r="198" spans="13:20">
      <c r="M198" s="16"/>
      <c r="N198" s="16"/>
      <c r="O198" s="10"/>
      <c r="T198" s="10"/>
    </row>
    <row r="199" spans="13:20">
      <c r="M199" s="16"/>
      <c r="N199" s="16"/>
      <c r="O199" s="10"/>
      <c r="T199" s="10"/>
    </row>
    <row r="200" spans="13:20">
      <c r="M200" s="16"/>
      <c r="N200" s="16"/>
      <c r="O200" s="10"/>
      <c r="T200" s="10"/>
    </row>
    <row r="201" spans="13:20">
      <c r="M201" s="16"/>
      <c r="N201" s="16"/>
      <c r="O201" s="10"/>
      <c r="T201" s="10"/>
    </row>
    <row r="202" spans="13:20">
      <c r="M202" s="16"/>
      <c r="N202" s="16"/>
    </row>
    <row r="203" spans="13:20">
      <c r="M203" s="16"/>
      <c r="N203" s="16"/>
    </row>
    <row r="204" spans="13:20">
      <c r="M204" s="16"/>
      <c r="N204" s="16"/>
    </row>
    <row r="205" spans="13:20">
      <c r="M205" s="16"/>
      <c r="N205" s="16"/>
    </row>
    <row r="206" spans="13:20">
      <c r="M206" s="16"/>
      <c r="N206" s="16"/>
    </row>
    <row r="207" spans="13:20">
      <c r="M207" s="16"/>
      <c r="N207" s="16"/>
    </row>
    <row r="208" spans="13:20">
      <c r="M208" s="16"/>
      <c r="N208" s="16"/>
    </row>
    <row r="209" spans="13:14">
      <c r="M209" s="16"/>
      <c r="N209" s="16"/>
    </row>
    <row r="210" spans="13:14">
      <c r="M210" s="16"/>
      <c r="N210" s="16"/>
    </row>
    <row r="211" spans="13:14">
      <c r="M211" s="16"/>
      <c r="N211" s="16"/>
    </row>
    <row r="212" spans="13:14">
      <c r="M212" s="16"/>
      <c r="N212" s="16"/>
    </row>
    <row r="213" spans="13:14">
      <c r="M213" s="16"/>
      <c r="N213" s="16"/>
    </row>
    <row r="214" spans="13:14">
      <c r="M214" s="16"/>
      <c r="N214" s="16"/>
    </row>
    <row r="215" spans="13:14">
      <c r="M215" s="16"/>
      <c r="N215" s="16"/>
    </row>
    <row r="216" spans="13:14">
      <c r="M216" s="16"/>
      <c r="N216" s="16"/>
    </row>
    <row r="217" spans="13:14">
      <c r="M217" s="16"/>
      <c r="N217" s="16"/>
    </row>
    <row r="218" spans="13:14">
      <c r="M218" s="16"/>
      <c r="N218" s="16"/>
    </row>
    <row r="219" spans="13:14">
      <c r="M219" s="16"/>
      <c r="N219" s="16"/>
    </row>
    <row r="220" spans="13:14">
      <c r="M220" s="16"/>
      <c r="N220" s="16"/>
    </row>
    <row r="221" spans="13:14">
      <c r="M221" s="16"/>
      <c r="N221" s="16"/>
    </row>
    <row r="222" spans="13:14">
      <c r="M222" s="16"/>
      <c r="N222" s="16"/>
    </row>
    <row r="223" spans="13:14">
      <c r="M223" s="16"/>
      <c r="N223" s="16"/>
    </row>
    <row r="224" spans="13:14">
      <c r="M224" s="16"/>
      <c r="N224" s="16"/>
    </row>
    <row r="225" spans="13:14">
      <c r="M225" s="16"/>
      <c r="N225" s="16"/>
    </row>
    <row r="226" spans="13:14">
      <c r="M226" s="16"/>
      <c r="N226" s="16"/>
    </row>
    <row r="227" spans="13:14">
      <c r="M227" s="16"/>
      <c r="N227" s="16"/>
    </row>
    <row r="228" spans="13:14">
      <c r="M228" s="16"/>
      <c r="N228" s="16"/>
    </row>
    <row r="229" spans="13:14">
      <c r="M229" s="16"/>
      <c r="N229" s="16"/>
    </row>
    <row r="230" spans="13:14">
      <c r="M230" s="16"/>
      <c r="N230" s="16"/>
    </row>
    <row r="231" spans="13:14">
      <c r="M231" s="16"/>
      <c r="N231" s="16"/>
    </row>
    <row r="232" spans="13:14">
      <c r="M232" s="16"/>
      <c r="N232" s="16"/>
    </row>
    <row r="233" spans="13:14">
      <c r="M233" s="16"/>
      <c r="N233" s="16"/>
    </row>
    <row r="234" spans="13:14">
      <c r="M234" s="16"/>
      <c r="N234" s="16"/>
    </row>
    <row r="235" spans="13:14">
      <c r="M235" s="16"/>
      <c r="N235" s="16"/>
    </row>
    <row r="236" spans="13:14">
      <c r="M236" s="16"/>
      <c r="N236" s="16"/>
    </row>
    <row r="237" spans="13:14">
      <c r="M237" s="16"/>
      <c r="N237" s="16"/>
    </row>
    <row r="238" spans="13:14">
      <c r="M238" s="16"/>
      <c r="N238" s="16"/>
    </row>
    <row r="239" spans="13:14">
      <c r="M239" s="16"/>
      <c r="N239" s="16"/>
    </row>
    <row r="240" spans="13:14">
      <c r="M240" s="16"/>
      <c r="N240" s="16"/>
    </row>
    <row r="241" spans="13:14">
      <c r="M241" s="16"/>
      <c r="N241" s="16"/>
    </row>
    <row r="242" spans="13:14">
      <c r="M242" s="16"/>
      <c r="N242" s="16"/>
    </row>
    <row r="243" spans="13:14">
      <c r="M243" s="16"/>
      <c r="N243" s="16"/>
    </row>
    <row r="244" spans="13:14">
      <c r="M244" s="16"/>
      <c r="N244" s="16"/>
    </row>
    <row r="245" spans="13:14">
      <c r="M245" s="16"/>
      <c r="N245" s="16"/>
    </row>
    <row r="246" spans="13:14">
      <c r="M246" s="16"/>
      <c r="N246" s="16"/>
    </row>
    <row r="247" spans="13:14">
      <c r="M247" s="16"/>
      <c r="N247" s="16"/>
    </row>
    <row r="248" spans="13:14">
      <c r="M248" s="16"/>
      <c r="N248" s="16"/>
    </row>
    <row r="249" spans="13:14">
      <c r="M249" s="16"/>
      <c r="N249" s="16"/>
    </row>
    <row r="250" spans="13:14">
      <c r="M250" s="16"/>
      <c r="N250" s="16"/>
    </row>
    <row r="251" spans="13:14">
      <c r="M251" s="16"/>
      <c r="N251" s="16"/>
    </row>
    <row r="252" spans="13:14">
      <c r="M252" s="16"/>
      <c r="N252" s="16"/>
    </row>
    <row r="253" spans="13:14">
      <c r="M253" s="16"/>
      <c r="N253" s="16"/>
    </row>
    <row r="254" spans="13:14">
      <c r="M254" s="16"/>
      <c r="N254" s="16"/>
    </row>
    <row r="255" spans="13:14">
      <c r="M255" s="16"/>
      <c r="N255" s="16"/>
    </row>
    <row r="256" spans="13:14">
      <c r="M256" s="16"/>
      <c r="N256" s="16"/>
    </row>
    <row r="257" spans="13:14">
      <c r="M257" s="16"/>
      <c r="N257" s="16"/>
    </row>
    <row r="258" spans="13:14">
      <c r="M258" s="16"/>
      <c r="N258" s="16"/>
    </row>
    <row r="259" spans="13:14">
      <c r="M259" s="16"/>
      <c r="N259" s="16"/>
    </row>
    <row r="260" spans="13:14">
      <c r="M260" s="16"/>
      <c r="N260" s="16"/>
    </row>
    <row r="261" spans="13:14">
      <c r="M261" s="16"/>
      <c r="N261" s="16"/>
    </row>
    <row r="262" spans="13:14">
      <c r="M262" s="16"/>
      <c r="N262" s="16"/>
    </row>
    <row r="263" spans="13:14">
      <c r="M263" s="16"/>
      <c r="N263" s="16"/>
    </row>
    <row r="264" spans="13:14">
      <c r="M264" s="16"/>
      <c r="N264" s="16"/>
    </row>
    <row r="265" spans="13:14">
      <c r="M265" s="16"/>
      <c r="N265" s="16"/>
    </row>
    <row r="266" spans="13:14">
      <c r="M266" s="16"/>
      <c r="N266" s="16"/>
    </row>
    <row r="267" spans="13:14">
      <c r="M267" s="16"/>
      <c r="N267" s="16"/>
    </row>
    <row r="268" spans="13:14">
      <c r="M268" s="16"/>
      <c r="N268" s="16"/>
    </row>
    <row r="269" spans="13:14">
      <c r="M269" s="16"/>
      <c r="N269" s="16"/>
    </row>
    <row r="270" spans="13:14">
      <c r="M270" s="16"/>
      <c r="N270" s="16"/>
    </row>
    <row r="271" spans="13:14">
      <c r="M271" s="16"/>
      <c r="N271" s="16"/>
    </row>
    <row r="272" spans="13:14">
      <c r="M272" s="16"/>
      <c r="N272" s="16"/>
    </row>
    <row r="273" spans="13:14">
      <c r="M273" s="16"/>
      <c r="N273" s="16"/>
    </row>
    <row r="274" spans="13:14">
      <c r="M274" s="16"/>
      <c r="N274" s="16"/>
    </row>
    <row r="275" spans="13:14">
      <c r="M275" s="16"/>
      <c r="N275" s="16"/>
    </row>
    <row r="276" spans="13:14">
      <c r="M276" s="16"/>
      <c r="N276" s="16"/>
    </row>
    <row r="277" spans="13:14">
      <c r="M277" s="16"/>
      <c r="N277" s="16"/>
    </row>
    <row r="278" spans="13:14">
      <c r="M278" s="16"/>
      <c r="N278" s="16"/>
    </row>
    <row r="279" spans="13:14">
      <c r="M279" s="16"/>
      <c r="N279" s="16"/>
    </row>
    <row r="280" spans="13:14">
      <c r="M280" s="16"/>
      <c r="N280" s="16"/>
    </row>
    <row r="281" spans="13:14">
      <c r="M281" s="16"/>
      <c r="N281" s="16"/>
    </row>
    <row r="282" spans="13:14">
      <c r="M282" s="16"/>
      <c r="N282" s="16"/>
    </row>
    <row r="283" spans="13:14">
      <c r="M283" s="16"/>
      <c r="N283" s="16"/>
    </row>
    <row r="284" spans="13:14">
      <c r="M284" s="16"/>
      <c r="N284" s="16"/>
    </row>
    <row r="285" spans="13:14">
      <c r="M285" s="16"/>
      <c r="N285" s="16"/>
    </row>
    <row r="286" spans="13:14">
      <c r="M286" s="16"/>
      <c r="N286" s="16"/>
    </row>
    <row r="287" spans="13:14">
      <c r="M287" s="16"/>
      <c r="N287" s="16"/>
    </row>
    <row r="288" spans="13:14">
      <c r="M288" s="16"/>
      <c r="N288" s="16"/>
    </row>
    <row r="289" spans="13:14">
      <c r="M289" s="16"/>
      <c r="N289" s="16"/>
    </row>
    <row r="290" spans="13:14">
      <c r="M290" s="16"/>
      <c r="N290" s="16"/>
    </row>
    <row r="291" spans="13:14">
      <c r="M291" s="16"/>
      <c r="N291" s="16"/>
    </row>
    <row r="292" spans="13:14">
      <c r="M292" s="16"/>
      <c r="N292" s="16"/>
    </row>
    <row r="293" spans="13:14">
      <c r="M293" s="16"/>
      <c r="N293" s="16"/>
    </row>
    <row r="294" spans="13:14">
      <c r="M294" s="16"/>
      <c r="N294" s="16"/>
    </row>
    <row r="295" spans="13:14">
      <c r="M295" s="16"/>
      <c r="N295" s="16"/>
    </row>
    <row r="296" spans="13:14">
      <c r="M296" s="16"/>
      <c r="N296" s="16"/>
    </row>
    <row r="297" spans="13:14">
      <c r="M297" s="16"/>
      <c r="N297" s="16"/>
    </row>
    <row r="298" spans="13:14">
      <c r="M298" s="16"/>
      <c r="N298" s="16"/>
    </row>
    <row r="299" spans="13:14">
      <c r="M299" s="16"/>
      <c r="N299" s="16"/>
    </row>
    <row r="300" spans="13:14">
      <c r="M300" s="16"/>
      <c r="N300" s="16"/>
    </row>
    <row r="301" spans="13:14">
      <c r="M301" s="16"/>
      <c r="N301" s="16"/>
    </row>
    <row r="302" spans="13:14">
      <c r="M302" s="16"/>
      <c r="N302" s="16"/>
    </row>
    <row r="303" spans="13:14">
      <c r="M303" s="16"/>
      <c r="N303" s="16"/>
    </row>
    <row r="304" spans="13:14">
      <c r="M304" s="16"/>
      <c r="N304" s="16"/>
    </row>
    <row r="305" spans="13:14">
      <c r="M305" s="16"/>
      <c r="N305" s="16"/>
    </row>
    <row r="306" spans="13:14">
      <c r="M306" s="16"/>
      <c r="N306" s="16"/>
    </row>
    <row r="307" spans="13:14">
      <c r="M307" s="16"/>
      <c r="N307" s="16"/>
    </row>
    <row r="308" spans="13:14">
      <c r="M308" s="16"/>
      <c r="N308" s="16"/>
    </row>
    <row r="309" spans="13:14">
      <c r="M309" s="16"/>
      <c r="N309" s="16"/>
    </row>
    <row r="310" spans="13:14">
      <c r="M310" s="16"/>
      <c r="N310" s="16"/>
    </row>
    <row r="311" spans="13:14">
      <c r="M311" s="16"/>
      <c r="N311" s="16"/>
    </row>
    <row r="312" spans="13:14">
      <c r="M312" s="16"/>
      <c r="N312" s="16"/>
    </row>
    <row r="313" spans="13:14">
      <c r="M313" s="16"/>
      <c r="N313" s="16"/>
    </row>
    <row r="314" spans="13:14">
      <c r="M314" s="16"/>
      <c r="N314" s="16"/>
    </row>
    <row r="315" spans="13:14">
      <c r="M315" s="16"/>
      <c r="N315" s="16"/>
    </row>
    <row r="316" spans="13:14">
      <c r="M316" s="16"/>
      <c r="N316" s="16"/>
    </row>
    <row r="317" spans="13:14">
      <c r="M317" s="16"/>
      <c r="N317" s="16"/>
    </row>
    <row r="318" spans="13:14">
      <c r="M318" s="16"/>
      <c r="N318" s="16"/>
    </row>
    <row r="319" spans="13:14">
      <c r="M319" s="16"/>
      <c r="N319" s="16"/>
    </row>
    <row r="320" spans="13:14">
      <c r="M320" s="16"/>
      <c r="N320" s="16"/>
    </row>
    <row r="321" spans="13:14">
      <c r="M321" s="16"/>
      <c r="N321" s="16"/>
    </row>
    <row r="322" spans="13:14">
      <c r="M322" s="16"/>
      <c r="N322" s="16"/>
    </row>
    <row r="323" spans="13:14">
      <c r="M323" s="16"/>
      <c r="N323" s="16"/>
    </row>
    <row r="324" spans="13:14">
      <c r="M324" s="16"/>
      <c r="N324" s="16"/>
    </row>
    <row r="325" spans="13:14">
      <c r="M325" s="16"/>
      <c r="N325" s="16"/>
    </row>
    <row r="326" spans="13:14">
      <c r="M326" s="16"/>
      <c r="N326" s="16"/>
    </row>
    <row r="327" spans="13:14">
      <c r="M327" s="16"/>
      <c r="N327" s="16"/>
    </row>
    <row r="328" spans="13:14">
      <c r="M328" s="16"/>
      <c r="N328" s="16"/>
    </row>
    <row r="329" spans="13:14">
      <c r="M329" s="16"/>
      <c r="N329" s="16"/>
    </row>
    <row r="330" spans="13:14">
      <c r="M330" s="16"/>
      <c r="N330" s="16"/>
    </row>
    <row r="331" spans="13:14">
      <c r="M331" s="16"/>
      <c r="N331" s="16"/>
    </row>
    <row r="332" spans="13:14">
      <c r="M332" s="16"/>
      <c r="N332" s="16"/>
    </row>
    <row r="333" spans="13:14">
      <c r="M333" s="16"/>
      <c r="N333" s="16"/>
    </row>
    <row r="334" spans="13:14">
      <c r="M334" s="16"/>
      <c r="N334" s="16"/>
    </row>
    <row r="335" spans="13:14">
      <c r="M335" s="16"/>
      <c r="N335" s="16"/>
    </row>
    <row r="336" spans="13:14">
      <c r="M336" s="16"/>
      <c r="N336" s="16"/>
    </row>
    <row r="337" spans="13:14">
      <c r="M337" s="16"/>
      <c r="N337" s="16"/>
    </row>
    <row r="338" spans="13:14">
      <c r="M338" s="16"/>
      <c r="N338" s="16"/>
    </row>
    <row r="339" spans="13:14">
      <c r="M339" s="16"/>
      <c r="N339" s="16"/>
    </row>
    <row r="340" spans="13:14">
      <c r="M340" s="16"/>
      <c r="N340" s="16"/>
    </row>
    <row r="341" spans="13:14">
      <c r="M341" s="16"/>
      <c r="N341" s="16"/>
    </row>
    <row r="342" spans="13:14">
      <c r="M342" s="16"/>
      <c r="N342" s="16"/>
    </row>
    <row r="343" spans="13:14">
      <c r="M343" s="16"/>
      <c r="N343" s="16"/>
    </row>
    <row r="344" spans="13:14">
      <c r="M344" s="16"/>
      <c r="N344" s="16"/>
    </row>
    <row r="345" spans="13:14">
      <c r="M345" s="16"/>
      <c r="N345" s="16"/>
    </row>
    <row r="346" spans="13:14">
      <c r="M346" s="16"/>
      <c r="N346" s="16"/>
    </row>
    <row r="347" spans="13:14">
      <c r="M347" s="16"/>
      <c r="N347" s="16"/>
    </row>
    <row r="348" spans="13:14">
      <c r="M348" s="16"/>
      <c r="N348" s="16"/>
    </row>
    <row r="349" spans="13:14">
      <c r="M349" s="16"/>
      <c r="N349" s="16"/>
    </row>
    <row r="350" spans="13:14">
      <c r="M350" s="16"/>
      <c r="N350" s="16"/>
    </row>
    <row r="351" spans="13:14">
      <c r="M351" s="16"/>
      <c r="N351" s="16"/>
    </row>
    <row r="352" spans="13:14">
      <c r="M352" s="16"/>
      <c r="N352" s="16"/>
    </row>
    <row r="353" spans="13:14">
      <c r="M353" s="16"/>
      <c r="N353" s="16"/>
    </row>
    <row r="354" spans="13:14">
      <c r="M354" s="16"/>
      <c r="N354" s="16"/>
    </row>
    <row r="355" spans="13:14">
      <c r="M355" s="16"/>
      <c r="N355" s="16"/>
    </row>
    <row r="356" spans="13:14">
      <c r="M356" s="16"/>
      <c r="N356" s="16"/>
    </row>
    <row r="357" spans="13:14">
      <c r="M357" s="16"/>
      <c r="N357" s="16"/>
    </row>
    <row r="358" spans="13:14">
      <c r="M358" s="16"/>
      <c r="N358" s="16"/>
    </row>
    <row r="359" spans="13:14">
      <c r="M359" s="16"/>
      <c r="N359" s="16"/>
    </row>
    <row r="360" spans="13:14">
      <c r="M360" s="16"/>
      <c r="N360" s="16"/>
    </row>
    <row r="361" spans="13:14">
      <c r="M361" s="16"/>
      <c r="N361" s="16"/>
    </row>
    <row r="362" spans="13:14">
      <c r="M362" s="16"/>
      <c r="N362" s="16"/>
    </row>
    <row r="363" spans="13:14">
      <c r="M363" s="16"/>
      <c r="N363" s="16"/>
    </row>
    <row r="364" spans="13:14">
      <c r="M364" s="16"/>
      <c r="N364" s="16"/>
    </row>
    <row r="365" spans="13:14">
      <c r="M365" s="16"/>
      <c r="N365" s="16"/>
    </row>
    <row r="366" spans="13:14">
      <c r="M366" s="16"/>
      <c r="N366" s="16"/>
    </row>
    <row r="367" spans="13:14">
      <c r="M367" s="16"/>
      <c r="N367" s="16"/>
    </row>
    <row r="368" spans="13:14">
      <c r="M368" s="16"/>
      <c r="N368" s="16"/>
    </row>
    <row r="369" spans="13:14">
      <c r="M369" s="16"/>
      <c r="N369" s="16"/>
    </row>
    <row r="370" spans="13:14">
      <c r="M370" s="16"/>
      <c r="N370" s="16"/>
    </row>
    <row r="371" spans="13:14">
      <c r="M371" s="16"/>
      <c r="N371" s="16"/>
    </row>
    <row r="372" spans="13:14">
      <c r="M372" s="16"/>
      <c r="N372" s="16"/>
    </row>
    <row r="373" spans="13:14">
      <c r="M373" s="16"/>
      <c r="N373" s="16"/>
    </row>
    <row r="374" spans="13:14">
      <c r="M374" s="16"/>
      <c r="N374" s="16"/>
    </row>
    <row r="375" spans="13:14">
      <c r="M375" s="16"/>
      <c r="N375" s="16"/>
    </row>
    <row r="376" spans="13:14">
      <c r="M376" s="16"/>
      <c r="N376" s="16"/>
    </row>
    <row r="377" spans="13:14">
      <c r="M377" s="16"/>
      <c r="N377" s="16"/>
    </row>
    <row r="378" spans="13:14">
      <c r="M378" s="16"/>
      <c r="N378" s="16"/>
    </row>
    <row r="379" spans="13:14">
      <c r="M379" s="16"/>
      <c r="N379" s="16"/>
    </row>
    <row r="380" spans="13:14">
      <c r="M380" s="16"/>
      <c r="N380" s="16"/>
    </row>
    <row r="381" spans="13:14">
      <c r="M381" s="16"/>
      <c r="N381" s="16"/>
    </row>
    <row r="382" spans="13:14">
      <c r="M382" s="16"/>
      <c r="N382" s="16"/>
    </row>
    <row r="383" spans="13:14">
      <c r="M383" s="16"/>
      <c r="N383" s="16"/>
    </row>
    <row r="384" spans="13:14">
      <c r="M384" s="16"/>
      <c r="N384" s="16"/>
    </row>
    <row r="385" spans="13:14">
      <c r="M385" s="16"/>
      <c r="N385" s="16"/>
    </row>
    <row r="386" spans="13:14">
      <c r="M386" s="16"/>
      <c r="N386" s="16"/>
    </row>
    <row r="387" spans="13:14">
      <c r="M387" s="16"/>
      <c r="N387" s="16"/>
    </row>
    <row r="388" spans="13:14">
      <c r="M388" s="16"/>
      <c r="N388" s="16"/>
    </row>
    <row r="389" spans="13:14">
      <c r="M389" s="16"/>
      <c r="N389" s="16"/>
    </row>
    <row r="390" spans="13:14">
      <c r="M390" s="16"/>
      <c r="N390" s="16"/>
    </row>
    <row r="391" spans="13:14">
      <c r="M391" s="16"/>
      <c r="N391" s="16"/>
    </row>
    <row r="392" spans="13:14">
      <c r="M392" s="16"/>
      <c r="N392" s="16"/>
    </row>
    <row r="393" spans="13:14">
      <c r="M393" s="16"/>
      <c r="N393" s="16"/>
    </row>
    <row r="394" spans="13:14">
      <c r="M394" s="16"/>
      <c r="N394" s="16"/>
    </row>
    <row r="395" spans="13:14">
      <c r="M395" s="16"/>
      <c r="N395" s="16"/>
    </row>
    <row r="396" spans="13:14">
      <c r="M396" s="16"/>
      <c r="N396" s="16"/>
    </row>
    <row r="397" spans="13:14">
      <c r="M397" s="16"/>
      <c r="N397" s="16"/>
    </row>
    <row r="398" spans="13:14">
      <c r="M398" s="16"/>
      <c r="N398" s="16"/>
    </row>
    <row r="399" spans="13:14">
      <c r="M399" s="16"/>
      <c r="N399" s="16"/>
    </row>
    <row r="400" spans="13:14">
      <c r="M400" s="16"/>
      <c r="N400" s="16"/>
    </row>
    <row r="401" spans="13:14">
      <c r="M401" s="16"/>
      <c r="N401" s="16"/>
    </row>
    <row r="402" spans="13:14">
      <c r="M402" s="16"/>
      <c r="N402" s="16"/>
    </row>
    <row r="403" spans="13:14">
      <c r="M403" s="16"/>
      <c r="N403" s="16"/>
    </row>
    <row r="404" spans="13:14">
      <c r="M404" s="16"/>
      <c r="N404" s="16"/>
    </row>
    <row r="405" spans="13:14">
      <c r="M405" s="16"/>
      <c r="N405" s="16"/>
    </row>
    <row r="406" spans="13:14">
      <c r="M406" s="16"/>
      <c r="N406" s="16"/>
    </row>
    <row r="407" spans="13:14">
      <c r="M407" s="16"/>
      <c r="N407" s="16"/>
    </row>
    <row r="408" spans="13:14">
      <c r="M408" s="16"/>
      <c r="N408" s="16"/>
    </row>
    <row r="409" spans="13:14">
      <c r="M409" s="16"/>
      <c r="N409" s="16"/>
    </row>
    <row r="410" spans="13:14">
      <c r="M410" s="16"/>
      <c r="N410" s="16"/>
    </row>
    <row r="411" spans="13:14">
      <c r="M411" s="16"/>
      <c r="N411" s="16"/>
    </row>
    <row r="412" spans="13:14">
      <c r="M412" s="16"/>
      <c r="N412" s="16"/>
    </row>
    <row r="413" spans="13:14">
      <c r="M413" s="16"/>
      <c r="N413" s="16"/>
    </row>
    <row r="414" spans="13:14">
      <c r="M414" s="16"/>
      <c r="N414" s="16"/>
    </row>
    <row r="415" spans="13:14">
      <c r="M415" s="16"/>
      <c r="N415" s="16"/>
    </row>
    <row r="416" spans="13:14">
      <c r="M416" s="16"/>
      <c r="N416" s="16"/>
    </row>
    <row r="417" spans="13:14">
      <c r="M417" s="16"/>
      <c r="N417" s="16"/>
    </row>
    <row r="418" spans="13:14">
      <c r="M418" s="16"/>
      <c r="N418" s="16"/>
    </row>
    <row r="419" spans="13:14">
      <c r="M419" s="16"/>
      <c r="N419" s="16"/>
    </row>
    <row r="420" spans="13:14">
      <c r="M420" s="16"/>
      <c r="N420" s="16"/>
    </row>
    <row r="421" spans="13:14">
      <c r="M421" s="16"/>
      <c r="N421" s="16"/>
    </row>
    <row r="422" spans="13:14">
      <c r="M422" s="16"/>
      <c r="N422" s="16"/>
    </row>
    <row r="423" spans="13:14">
      <c r="M423" s="16"/>
      <c r="N423" s="16"/>
    </row>
    <row r="424" spans="13:14">
      <c r="M424" s="16"/>
      <c r="N424" s="16"/>
    </row>
    <row r="425" spans="13:14">
      <c r="M425" s="16"/>
      <c r="N425" s="16"/>
    </row>
    <row r="426" spans="13:14">
      <c r="M426" s="16"/>
      <c r="N426" s="16"/>
    </row>
    <row r="427" spans="13:14">
      <c r="M427" s="16"/>
      <c r="N427" s="16"/>
    </row>
    <row r="428" spans="13:14">
      <c r="M428" s="16"/>
      <c r="N428" s="16"/>
    </row>
    <row r="429" spans="13:14">
      <c r="M429" s="16"/>
      <c r="N429" s="16"/>
    </row>
    <row r="430" spans="13:14">
      <c r="M430" s="16"/>
      <c r="N430" s="16"/>
    </row>
    <row r="431" spans="13:14">
      <c r="M431" s="16"/>
      <c r="N431" s="16"/>
    </row>
    <row r="432" spans="13:14">
      <c r="M432" s="16"/>
      <c r="N432" s="16"/>
    </row>
    <row r="433" spans="13:14">
      <c r="M433" s="16"/>
      <c r="N433" s="16"/>
    </row>
    <row r="434" spans="13:14">
      <c r="M434" s="16"/>
      <c r="N434" s="16"/>
    </row>
    <row r="435" spans="13:14">
      <c r="M435" s="16"/>
      <c r="N435" s="16"/>
    </row>
    <row r="436" spans="13:14">
      <c r="M436" s="16"/>
      <c r="N436" s="16"/>
    </row>
    <row r="437" spans="13:14">
      <c r="M437" s="16"/>
      <c r="N437" s="16"/>
    </row>
    <row r="438" spans="13:14">
      <c r="M438" s="16"/>
      <c r="N438" s="16"/>
    </row>
    <row r="439" spans="13:14">
      <c r="M439" s="16"/>
      <c r="N439" s="16"/>
    </row>
    <row r="440" spans="13:14">
      <c r="M440" s="16"/>
      <c r="N440" s="16"/>
    </row>
    <row r="441" spans="13:14">
      <c r="M441" s="16"/>
      <c r="N441" s="16"/>
    </row>
    <row r="442" spans="13:14">
      <c r="M442" s="16"/>
      <c r="N442" s="16"/>
    </row>
    <row r="443" spans="13:14">
      <c r="M443" s="16"/>
      <c r="N443" s="16"/>
    </row>
    <row r="444" spans="13:14">
      <c r="M444" s="16"/>
      <c r="N444" s="16"/>
    </row>
    <row r="445" spans="13:14">
      <c r="M445" s="16"/>
      <c r="N445" s="16"/>
    </row>
    <row r="446" spans="13:14">
      <c r="M446" s="16"/>
      <c r="N446" s="16"/>
    </row>
    <row r="447" spans="13:14">
      <c r="M447" s="16"/>
      <c r="N447" s="16"/>
    </row>
    <row r="448" spans="13:14">
      <c r="M448" s="16"/>
      <c r="N448" s="16"/>
    </row>
    <row r="449" spans="13:14">
      <c r="M449" s="16"/>
      <c r="N449" s="16"/>
    </row>
    <row r="450" spans="13:14">
      <c r="M450" s="16"/>
      <c r="N450" s="16"/>
    </row>
    <row r="451" spans="13:14">
      <c r="M451" s="16"/>
      <c r="N451" s="16"/>
    </row>
    <row r="452" spans="13:14">
      <c r="M452" s="16"/>
      <c r="N452" s="16"/>
    </row>
    <row r="453" spans="13:14">
      <c r="M453" s="16"/>
      <c r="N453" s="16"/>
    </row>
    <row r="454" spans="13:14">
      <c r="M454" s="16"/>
      <c r="N454" s="16"/>
    </row>
    <row r="455" spans="13:14">
      <c r="M455" s="16"/>
      <c r="N455" s="16"/>
    </row>
    <row r="456" spans="13:14">
      <c r="M456" s="16"/>
      <c r="N456" s="16"/>
    </row>
    <row r="457" spans="13:14">
      <c r="M457" s="16"/>
      <c r="N457" s="16"/>
    </row>
    <row r="458" spans="13:14">
      <c r="M458" s="16"/>
      <c r="N458" s="16"/>
    </row>
    <row r="459" spans="13:14">
      <c r="M459" s="16"/>
      <c r="N459" s="16"/>
    </row>
    <row r="460" spans="13:14">
      <c r="M460" s="16"/>
      <c r="N460" s="16"/>
    </row>
    <row r="461" spans="13:14">
      <c r="M461" s="16"/>
      <c r="N461" s="16"/>
    </row>
    <row r="462" spans="13:14">
      <c r="M462" s="16"/>
      <c r="N462" s="16"/>
    </row>
    <row r="463" spans="13:14">
      <c r="M463" s="16"/>
      <c r="N463" s="16"/>
    </row>
    <row r="464" spans="13:14">
      <c r="M464" s="16"/>
      <c r="N464" s="16"/>
    </row>
    <row r="465" spans="13:14">
      <c r="M465" s="16"/>
      <c r="N465" s="16"/>
    </row>
    <row r="466" spans="13:14">
      <c r="M466" s="16"/>
      <c r="N466" s="16"/>
    </row>
    <row r="467" spans="13:14">
      <c r="M467" s="16"/>
      <c r="N467" s="16"/>
    </row>
    <row r="468" spans="13:14">
      <c r="M468" s="16"/>
      <c r="N468" s="16"/>
    </row>
    <row r="469" spans="13:14">
      <c r="M469" s="16"/>
      <c r="N469" s="16"/>
    </row>
    <row r="470" spans="13:14">
      <c r="M470" s="16"/>
      <c r="N470" s="16"/>
    </row>
    <row r="471" spans="13:14">
      <c r="M471" s="16"/>
      <c r="N471" s="16"/>
    </row>
    <row r="472" spans="13:14">
      <c r="M472" s="16"/>
      <c r="N472" s="16"/>
    </row>
    <row r="473" spans="13:14">
      <c r="M473" s="16"/>
      <c r="N473" s="16"/>
    </row>
    <row r="474" spans="13:14">
      <c r="M474" s="16"/>
      <c r="N474" s="16"/>
    </row>
    <row r="475" spans="13:14">
      <c r="M475" s="16"/>
      <c r="N475" s="16"/>
    </row>
    <row r="476" spans="13:14">
      <c r="M476" s="16"/>
      <c r="N476" s="16"/>
    </row>
    <row r="477" spans="13:14">
      <c r="M477" s="16"/>
      <c r="N477" s="16"/>
    </row>
    <row r="478" spans="13:14">
      <c r="M478" s="16"/>
      <c r="N478" s="16"/>
    </row>
    <row r="479" spans="13:14">
      <c r="M479" s="16"/>
      <c r="N479" s="16"/>
    </row>
    <row r="480" spans="13:14">
      <c r="M480" s="16"/>
      <c r="N480" s="16"/>
    </row>
    <row r="481" spans="13:14">
      <c r="M481" s="16"/>
      <c r="N481" s="16"/>
    </row>
    <row r="482" spans="13:14">
      <c r="M482" s="16"/>
      <c r="N482" s="16"/>
    </row>
    <row r="483" spans="13:14">
      <c r="M483" s="16"/>
      <c r="N483" s="16"/>
    </row>
    <row r="484" spans="13:14">
      <c r="M484" s="16"/>
      <c r="N484" s="16"/>
    </row>
    <row r="485" spans="13:14">
      <c r="M485" s="16"/>
      <c r="N485" s="16"/>
    </row>
    <row r="486" spans="13:14">
      <c r="M486" s="16"/>
      <c r="N486" s="16"/>
    </row>
    <row r="487" spans="13:14">
      <c r="M487" s="16"/>
      <c r="N487" s="16"/>
    </row>
    <row r="488" spans="13:14">
      <c r="M488" s="16"/>
      <c r="N488" s="16"/>
    </row>
    <row r="489" spans="13:14">
      <c r="M489" s="16"/>
      <c r="N489" s="16"/>
    </row>
    <row r="490" spans="13:14">
      <c r="M490" s="16"/>
      <c r="N490" s="16"/>
    </row>
    <row r="491" spans="13:14">
      <c r="M491" s="16"/>
      <c r="N491" s="16"/>
    </row>
    <row r="492" spans="13:14">
      <c r="M492" s="16"/>
      <c r="N492" s="16"/>
    </row>
    <row r="493" spans="13:14">
      <c r="M493" s="16"/>
      <c r="N493" s="16"/>
    </row>
    <row r="494" spans="13:14">
      <c r="M494" s="16"/>
      <c r="N494" s="16"/>
    </row>
    <row r="495" spans="13:14">
      <c r="M495" s="16"/>
      <c r="N495" s="16"/>
    </row>
    <row r="496" spans="13:14">
      <c r="M496" s="16"/>
      <c r="N496" s="16"/>
    </row>
    <row r="497" spans="13:14">
      <c r="M497" s="16"/>
      <c r="N497" s="16"/>
    </row>
    <row r="498" spans="13:14">
      <c r="M498" s="16"/>
      <c r="N498" s="16"/>
    </row>
    <row r="499" spans="13:14">
      <c r="M499" s="16"/>
      <c r="N499" s="16"/>
    </row>
    <row r="500" spans="13:14">
      <c r="M500" s="16"/>
      <c r="N500" s="16"/>
    </row>
  </sheetData>
  <phoneticPr fontId="8"/>
  <conditionalFormatting sqref="O2:O201">
    <cfRule type="expression" dxfId="2" priority="1">
      <formula>AND($O2&lt;&gt;"",$O2&lt;=TODAY()+7)</formula>
    </cfRule>
  </conditionalFormatting>
  <conditionalFormatting sqref="U2:U201">
    <cfRule type="expression" dxfId="1" priority="2">
      <formula>$U2="在庫なし"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200-000000000000}">
          <x14:formula1>
            <xm:f>設定リスト!$E$2:$E$5</xm:f>
          </x14:formula1>
          <xm:sqref>U2:U201</xm:sqref>
        </x14:dataValidation>
        <x14:dataValidation type="list" xr:uid="{00000000-0002-0000-0200-000001000000}">
          <x14:formula1>
            <xm:f>設定リスト!$F$2:$F$6</xm:f>
          </x14:formula1>
          <xm:sqref>V2:V201</xm:sqref>
        </x14:dataValidation>
        <x14:dataValidation type="list" xr:uid="{00000000-0002-0000-0200-000002000000}">
          <x14:formula1>
            <xm:f>設定リスト!$G$2:$G$7</xm:f>
          </x14:formula1>
          <xm:sqref>W2:W201</xm:sqref>
        </x14:dataValidation>
        <x14:dataValidation type="list" xr:uid="{00000000-0002-0000-0200-000003000000}">
          <x14:formula1>
            <xm:f>設定リスト!$D$2:$D$7</xm:f>
          </x14:formula1>
          <xm:sqref>X2:X201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4"/>
  <cols>
    <col min="1" max="1" width="90" customWidth="1"/>
  </cols>
  <sheetData>
    <row r="1" spans="1:1" ht="18">
      <c r="A1" s="12" t="s">
        <v>65</v>
      </c>
    </row>
    <row r="2" spans="1:1">
      <c r="A2" t="s">
        <v>66</v>
      </c>
    </row>
    <row r="3" spans="1:1">
      <c r="A3" t="s">
        <v>67</v>
      </c>
    </row>
    <row r="4" spans="1:1">
      <c r="A4" t="s">
        <v>68</v>
      </c>
    </row>
    <row r="5" spans="1:1">
      <c r="A5" t="s">
        <v>69</v>
      </c>
    </row>
    <row r="6" spans="1:1">
      <c r="A6" t="s">
        <v>70</v>
      </c>
    </row>
  </sheetData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00"/>
  <sheetViews>
    <sheetView workbookViewId="0"/>
  </sheetViews>
  <sheetFormatPr baseColWidth="10" defaultColWidth="8.83203125" defaultRowHeight="14"/>
  <cols>
    <col min="1" max="6" width="12" customWidth="1"/>
    <col min="7" max="7" width="24" customWidth="1"/>
    <col min="8" max="9" width="12" customWidth="1"/>
    <col min="10" max="11" width="24" customWidth="1"/>
    <col min="12" max="15" width="12" customWidth="1"/>
    <col min="16" max="16" width="24" customWidth="1"/>
    <col min="17" max="34" width="12" customWidth="1"/>
    <col min="35" max="35" width="24" customWidth="1"/>
  </cols>
  <sheetData>
    <row r="1" spans="1:35" ht="42.75" customHeight="1">
      <c r="A1" s="4" t="s">
        <v>71</v>
      </c>
      <c r="B1" s="4" t="s">
        <v>72</v>
      </c>
      <c r="C1" s="4" t="s">
        <v>73</v>
      </c>
      <c r="D1" s="4" t="s">
        <v>74</v>
      </c>
      <c r="E1" s="4" t="s">
        <v>52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75</v>
      </c>
      <c r="K1" s="4" t="s">
        <v>76</v>
      </c>
      <c r="L1" s="4" t="s">
        <v>77</v>
      </c>
      <c r="M1" s="4" t="s">
        <v>78</v>
      </c>
      <c r="N1" s="4" t="s">
        <v>79</v>
      </c>
      <c r="O1" s="4" t="s">
        <v>80</v>
      </c>
      <c r="P1" s="4" t="s">
        <v>10</v>
      </c>
      <c r="Q1" s="4" t="s">
        <v>81</v>
      </c>
      <c r="R1" s="4" t="s">
        <v>9</v>
      </c>
      <c r="S1" s="4" t="s">
        <v>19</v>
      </c>
      <c r="T1" s="4" t="s">
        <v>20</v>
      </c>
      <c r="U1" s="4" t="s">
        <v>21</v>
      </c>
      <c r="V1" s="4" t="s">
        <v>82</v>
      </c>
      <c r="W1" s="4" t="s">
        <v>83</v>
      </c>
      <c r="X1" s="4" t="s">
        <v>84</v>
      </c>
      <c r="Y1" s="4" t="s">
        <v>85</v>
      </c>
      <c r="Z1" s="4" t="s">
        <v>86</v>
      </c>
      <c r="AA1" s="4" t="s">
        <v>87</v>
      </c>
      <c r="AB1" s="4" t="s">
        <v>32</v>
      </c>
      <c r="AC1" s="4" t="s">
        <v>88</v>
      </c>
      <c r="AD1" s="4" t="s">
        <v>89</v>
      </c>
      <c r="AE1" s="4" t="s">
        <v>90</v>
      </c>
      <c r="AF1" s="4" t="s">
        <v>91</v>
      </c>
      <c r="AG1" s="4" t="s">
        <v>92</v>
      </c>
      <c r="AH1" s="4" t="s">
        <v>93</v>
      </c>
      <c r="AI1" s="4" t="s">
        <v>18</v>
      </c>
    </row>
    <row r="2" spans="1:35">
      <c r="B2" s="10"/>
      <c r="M2" s="16"/>
      <c r="N2" s="16" t="str">
        <f t="shared" ref="N2:N33" si="0">IF(M2="","",M2*0.077)</f>
        <v/>
      </c>
      <c r="O2" s="16" t="str">
        <f t="shared" ref="O2:O33" si="1">IF(M2="","",M2-N2)</f>
        <v/>
      </c>
      <c r="P2" s="9"/>
      <c r="Q2" s="9"/>
      <c r="R2" s="9"/>
      <c r="S2" s="9"/>
      <c r="T2" s="16" t="str">
        <f t="shared" ref="T2:T33" si="2">IF(OR(Q2="",S2=""),"",IF(OR(R2="USD",R2="EUR",R2="GBP"),Q2*S2,Q2))</f>
        <v/>
      </c>
      <c r="U2" s="16" t="str">
        <f t="shared" ref="U2:U33" si="3">IF(T2="","",IF(ISNUMBER(SEARCH("MyUS",P2)),T2*0.08,0))</f>
        <v/>
      </c>
      <c r="V2" s="16"/>
      <c r="W2" s="16"/>
      <c r="X2" s="16"/>
      <c r="Y2" s="16"/>
      <c r="Z2" s="16" t="str">
        <f t="shared" ref="Z2:Z33" si="4">IF(T2="","",SUM(T2:Y2))</f>
        <v/>
      </c>
      <c r="AA2" s="16" t="str">
        <f t="shared" ref="AA2:AA33" si="5">IF(M2="","",O2-Z2)</f>
        <v/>
      </c>
      <c r="AB2" s="11" t="str">
        <f t="shared" ref="AB2:AB33" si="6">IF(M2="","",AA2/M2)</f>
        <v/>
      </c>
      <c r="AC2" s="10"/>
      <c r="AD2" s="10"/>
      <c r="AE2" s="10"/>
      <c r="AF2" s="10"/>
      <c r="AG2" s="10"/>
    </row>
    <row r="3" spans="1:35">
      <c r="B3" s="10"/>
      <c r="M3" s="16"/>
      <c r="N3" s="16" t="str">
        <f t="shared" si="0"/>
        <v/>
      </c>
      <c r="O3" s="16" t="str">
        <f t="shared" si="1"/>
        <v/>
      </c>
      <c r="P3" s="9"/>
      <c r="Q3" s="9"/>
      <c r="R3" s="9"/>
      <c r="S3" s="9"/>
      <c r="T3" s="16" t="str">
        <f t="shared" si="2"/>
        <v/>
      </c>
      <c r="U3" s="16" t="str">
        <f t="shared" si="3"/>
        <v/>
      </c>
      <c r="V3" s="16"/>
      <c r="W3" s="16"/>
      <c r="X3" s="16"/>
      <c r="Y3" s="16"/>
      <c r="Z3" s="16" t="str">
        <f t="shared" si="4"/>
        <v/>
      </c>
      <c r="AA3" s="16" t="str">
        <f t="shared" si="5"/>
        <v/>
      </c>
      <c r="AB3" s="11" t="str">
        <f t="shared" si="6"/>
        <v/>
      </c>
      <c r="AC3" s="10"/>
      <c r="AD3" s="10"/>
      <c r="AE3" s="10"/>
      <c r="AF3" s="10"/>
      <c r="AG3" s="10"/>
    </row>
    <row r="4" spans="1:35">
      <c r="B4" s="10"/>
      <c r="M4" s="16"/>
      <c r="N4" s="16" t="str">
        <f t="shared" si="0"/>
        <v/>
      </c>
      <c r="O4" s="16" t="str">
        <f t="shared" si="1"/>
        <v/>
      </c>
      <c r="P4" s="9"/>
      <c r="Q4" s="9"/>
      <c r="R4" s="9"/>
      <c r="S4" s="9"/>
      <c r="T4" s="16" t="str">
        <f t="shared" si="2"/>
        <v/>
      </c>
      <c r="U4" s="16" t="str">
        <f t="shared" si="3"/>
        <v/>
      </c>
      <c r="V4" s="16"/>
      <c r="W4" s="16"/>
      <c r="X4" s="16"/>
      <c r="Y4" s="16"/>
      <c r="Z4" s="16" t="str">
        <f t="shared" si="4"/>
        <v/>
      </c>
      <c r="AA4" s="16" t="str">
        <f t="shared" si="5"/>
        <v/>
      </c>
      <c r="AB4" s="11" t="str">
        <f t="shared" si="6"/>
        <v/>
      </c>
      <c r="AC4" s="10"/>
      <c r="AD4" s="10"/>
      <c r="AE4" s="10"/>
      <c r="AF4" s="10"/>
      <c r="AG4" s="10"/>
    </row>
    <row r="5" spans="1:35">
      <c r="B5" s="10"/>
      <c r="M5" s="16"/>
      <c r="N5" s="16" t="str">
        <f t="shared" si="0"/>
        <v/>
      </c>
      <c r="O5" s="16" t="str">
        <f t="shared" si="1"/>
        <v/>
      </c>
      <c r="P5" s="9"/>
      <c r="Q5" s="9"/>
      <c r="R5" s="9"/>
      <c r="S5" s="9"/>
      <c r="T5" s="16" t="str">
        <f t="shared" si="2"/>
        <v/>
      </c>
      <c r="U5" s="16" t="str">
        <f t="shared" si="3"/>
        <v/>
      </c>
      <c r="V5" s="16"/>
      <c r="W5" s="16"/>
      <c r="X5" s="16"/>
      <c r="Y5" s="16"/>
      <c r="Z5" s="16" t="str">
        <f t="shared" si="4"/>
        <v/>
      </c>
      <c r="AA5" s="16" t="str">
        <f t="shared" si="5"/>
        <v/>
      </c>
      <c r="AB5" s="11" t="str">
        <f t="shared" si="6"/>
        <v/>
      </c>
      <c r="AC5" s="10"/>
      <c r="AD5" s="10"/>
      <c r="AE5" s="10"/>
      <c r="AF5" s="10"/>
      <c r="AG5" s="10"/>
    </row>
    <row r="6" spans="1:35">
      <c r="B6" s="10"/>
      <c r="M6" s="16"/>
      <c r="N6" s="16" t="str">
        <f t="shared" si="0"/>
        <v/>
      </c>
      <c r="O6" s="16" t="str">
        <f t="shared" si="1"/>
        <v/>
      </c>
      <c r="P6" s="9"/>
      <c r="Q6" s="9"/>
      <c r="R6" s="9"/>
      <c r="S6" s="9"/>
      <c r="T6" s="16" t="str">
        <f t="shared" si="2"/>
        <v/>
      </c>
      <c r="U6" s="16" t="str">
        <f t="shared" si="3"/>
        <v/>
      </c>
      <c r="V6" s="16"/>
      <c r="W6" s="16"/>
      <c r="X6" s="16"/>
      <c r="Y6" s="16"/>
      <c r="Z6" s="16" t="str">
        <f t="shared" si="4"/>
        <v/>
      </c>
      <c r="AA6" s="16" t="str">
        <f t="shared" si="5"/>
        <v/>
      </c>
      <c r="AB6" s="11" t="str">
        <f t="shared" si="6"/>
        <v/>
      </c>
      <c r="AC6" s="10"/>
      <c r="AD6" s="10"/>
      <c r="AE6" s="10"/>
      <c r="AF6" s="10"/>
      <c r="AG6" s="10"/>
    </row>
    <row r="7" spans="1:35">
      <c r="B7" s="10"/>
      <c r="M7" s="16"/>
      <c r="N7" s="16" t="str">
        <f t="shared" si="0"/>
        <v/>
      </c>
      <c r="O7" s="16" t="str">
        <f t="shared" si="1"/>
        <v/>
      </c>
      <c r="P7" s="9"/>
      <c r="Q7" s="9"/>
      <c r="R7" s="9"/>
      <c r="S7" s="9"/>
      <c r="T7" s="16" t="str">
        <f t="shared" si="2"/>
        <v/>
      </c>
      <c r="U7" s="16" t="str">
        <f t="shared" si="3"/>
        <v/>
      </c>
      <c r="V7" s="16"/>
      <c r="W7" s="16"/>
      <c r="X7" s="16"/>
      <c r="Y7" s="16"/>
      <c r="Z7" s="16" t="str">
        <f t="shared" si="4"/>
        <v/>
      </c>
      <c r="AA7" s="16" t="str">
        <f t="shared" si="5"/>
        <v/>
      </c>
      <c r="AB7" s="11" t="str">
        <f t="shared" si="6"/>
        <v/>
      </c>
      <c r="AC7" s="10"/>
      <c r="AD7" s="10"/>
      <c r="AE7" s="10"/>
      <c r="AF7" s="10"/>
      <c r="AG7" s="10"/>
    </row>
    <row r="8" spans="1:35">
      <c r="B8" s="10"/>
      <c r="M8" s="16"/>
      <c r="N8" s="16" t="str">
        <f t="shared" si="0"/>
        <v/>
      </c>
      <c r="O8" s="16" t="str">
        <f t="shared" si="1"/>
        <v/>
      </c>
      <c r="P8" s="9"/>
      <c r="Q8" s="9"/>
      <c r="R8" s="9"/>
      <c r="S8" s="9"/>
      <c r="T8" s="16" t="str">
        <f t="shared" si="2"/>
        <v/>
      </c>
      <c r="U8" s="16" t="str">
        <f t="shared" si="3"/>
        <v/>
      </c>
      <c r="V8" s="16"/>
      <c r="W8" s="16"/>
      <c r="X8" s="16"/>
      <c r="Y8" s="16"/>
      <c r="Z8" s="16" t="str">
        <f t="shared" si="4"/>
        <v/>
      </c>
      <c r="AA8" s="16" t="str">
        <f t="shared" si="5"/>
        <v/>
      </c>
      <c r="AB8" s="11" t="str">
        <f t="shared" si="6"/>
        <v/>
      </c>
      <c r="AC8" s="10"/>
      <c r="AD8" s="10"/>
      <c r="AE8" s="10"/>
      <c r="AF8" s="10"/>
      <c r="AG8" s="10"/>
    </row>
    <row r="9" spans="1:35">
      <c r="B9" s="10"/>
      <c r="M9" s="16"/>
      <c r="N9" s="16" t="str">
        <f t="shared" si="0"/>
        <v/>
      </c>
      <c r="O9" s="16" t="str">
        <f t="shared" si="1"/>
        <v/>
      </c>
      <c r="P9" s="9"/>
      <c r="Q9" s="9"/>
      <c r="R9" s="9"/>
      <c r="S9" s="9"/>
      <c r="T9" s="16" t="str">
        <f t="shared" si="2"/>
        <v/>
      </c>
      <c r="U9" s="16" t="str">
        <f t="shared" si="3"/>
        <v/>
      </c>
      <c r="V9" s="16"/>
      <c r="W9" s="16"/>
      <c r="X9" s="16"/>
      <c r="Y9" s="16"/>
      <c r="Z9" s="16" t="str">
        <f t="shared" si="4"/>
        <v/>
      </c>
      <c r="AA9" s="16" t="str">
        <f t="shared" si="5"/>
        <v/>
      </c>
      <c r="AB9" s="11" t="str">
        <f t="shared" si="6"/>
        <v/>
      </c>
      <c r="AC9" s="10"/>
      <c r="AD9" s="10"/>
      <c r="AE9" s="10"/>
      <c r="AF9" s="10"/>
      <c r="AG9" s="10"/>
    </row>
    <row r="10" spans="1:35">
      <c r="B10" s="10"/>
      <c r="M10" s="16"/>
      <c r="N10" s="16" t="str">
        <f t="shared" si="0"/>
        <v/>
      </c>
      <c r="O10" s="16" t="str">
        <f t="shared" si="1"/>
        <v/>
      </c>
      <c r="P10" s="9"/>
      <c r="Q10" s="9"/>
      <c r="R10" s="9"/>
      <c r="S10" s="9"/>
      <c r="T10" s="16" t="str">
        <f t="shared" si="2"/>
        <v/>
      </c>
      <c r="U10" s="16" t="str">
        <f t="shared" si="3"/>
        <v/>
      </c>
      <c r="V10" s="16"/>
      <c r="W10" s="16"/>
      <c r="X10" s="16"/>
      <c r="Y10" s="16"/>
      <c r="Z10" s="16" t="str">
        <f t="shared" si="4"/>
        <v/>
      </c>
      <c r="AA10" s="16" t="str">
        <f t="shared" si="5"/>
        <v/>
      </c>
      <c r="AB10" s="11" t="str">
        <f t="shared" si="6"/>
        <v/>
      </c>
      <c r="AC10" s="10"/>
      <c r="AD10" s="10"/>
      <c r="AE10" s="10"/>
      <c r="AF10" s="10"/>
      <c r="AG10" s="10"/>
    </row>
    <row r="11" spans="1:35">
      <c r="B11" s="10"/>
      <c r="M11" s="16"/>
      <c r="N11" s="16" t="str">
        <f t="shared" si="0"/>
        <v/>
      </c>
      <c r="O11" s="16" t="str">
        <f t="shared" si="1"/>
        <v/>
      </c>
      <c r="P11" s="9"/>
      <c r="Q11" s="9"/>
      <c r="R11" s="9"/>
      <c r="S11" s="9"/>
      <c r="T11" s="16" t="str">
        <f t="shared" si="2"/>
        <v/>
      </c>
      <c r="U11" s="16" t="str">
        <f t="shared" si="3"/>
        <v/>
      </c>
      <c r="V11" s="16"/>
      <c r="W11" s="16"/>
      <c r="X11" s="16"/>
      <c r="Y11" s="16"/>
      <c r="Z11" s="16" t="str">
        <f t="shared" si="4"/>
        <v/>
      </c>
      <c r="AA11" s="16" t="str">
        <f t="shared" si="5"/>
        <v/>
      </c>
      <c r="AB11" s="11" t="str">
        <f t="shared" si="6"/>
        <v/>
      </c>
      <c r="AC11" s="10"/>
      <c r="AD11" s="10"/>
      <c r="AE11" s="10"/>
      <c r="AF11" s="10"/>
      <c r="AG11" s="10"/>
    </row>
    <row r="12" spans="1:35">
      <c r="B12" s="10"/>
      <c r="M12" s="16"/>
      <c r="N12" s="16" t="str">
        <f t="shared" si="0"/>
        <v/>
      </c>
      <c r="O12" s="16" t="str">
        <f t="shared" si="1"/>
        <v/>
      </c>
      <c r="P12" s="9"/>
      <c r="Q12" s="9"/>
      <c r="R12" s="9"/>
      <c r="S12" s="9"/>
      <c r="T12" s="16" t="str">
        <f t="shared" si="2"/>
        <v/>
      </c>
      <c r="U12" s="16" t="str">
        <f t="shared" si="3"/>
        <v/>
      </c>
      <c r="V12" s="16"/>
      <c r="W12" s="16"/>
      <c r="X12" s="16"/>
      <c r="Y12" s="16"/>
      <c r="Z12" s="16" t="str">
        <f t="shared" si="4"/>
        <v/>
      </c>
      <c r="AA12" s="16" t="str">
        <f t="shared" si="5"/>
        <v/>
      </c>
      <c r="AB12" s="11" t="str">
        <f t="shared" si="6"/>
        <v/>
      </c>
      <c r="AC12" s="10"/>
      <c r="AD12" s="10"/>
      <c r="AE12" s="10"/>
      <c r="AF12" s="10"/>
      <c r="AG12" s="10"/>
    </row>
    <row r="13" spans="1:35">
      <c r="B13" s="10"/>
      <c r="M13" s="16"/>
      <c r="N13" s="16" t="str">
        <f t="shared" si="0"/>
        <v/>
      </c>
      <c r="O13" s="16" t="str">
        <f t="shared" si="1"/>
        <v/>
      </c>
      <c r="P13" s="9"/>
      <c r="Q13" s="9"/>
      <c r="R13" s="9"/>
      <c r="S13" s="9"/>
      <c r="T13" s="16" t="str">
        <f t="shared" si="2"/>
        <v/>
      </c>
      <c r="U13" s="16" t="str">
        <f t="shared" si="3"/>
        <v/>
      </c>
      <c r="V13" s="16"/>
      <c r="W13" s="16"/>
      <c r="X13" s="16"/>
      <c r="Y13" s="16"/>
      <c r="Z13" s="16" t="str">
        <f t="shared" si="4"/>
        <v/>
      </c>
      <c r="AA13" s="16" t="str">
        <f t="shared" si="5"/>
        <v/>
      </c>
      <c r="AB13" s="11" t="str">
        <f t="shared" si="6"/>
        <v/>
      </c>
      <c r="AC13" s="10"/>
      <c r="AD13" s="10"/>
      <c r="AE13" s="10"/>
      <c r="AF13" s="10"/>
      <c r="AG13" s="10"/>
    </row>
    <row r="14" spans="1:35">
      <c r="B14" s="10"/>
      <c r="M14" s="16"/>
      <c r="N14" s="16" t="str">
        <f t="shared" si="0"/>
        <v/>
      </c>
      <c r="O14" s="16" t="str">
        <f t="shared" si="1"/>
        <v/>
      </c>
      <c r="P14" s="9"/>
      <c r="Q14" s="9"/>
      <c r="R14" s="9"/>
      <c r="S14" s="9"/>
      <c r="T14" s="16" t="str">
        <f t="shared" si="2"/>
        <v/>
      </c>
      <c r="U14" s="16" t="str">
        <f t="shared" si="3"/>
        <v/>
      </c>
      <c r="V14" s="16"/>
      <c r="W14" s="16"/>
      <c r="X14" s="16"/>
      <c r="Y14" s="16"/>
      <c r="Z14" s="16" t="str">
        <f t="shared" si="4"/>
        <v/>
      </c>
      <c r="AA14" s="16" t="str">
        <f t="shared" si="5"/>
        <v/>
      </c>
      <c r="AB14" s="11" t="str">
        <f t="shared" si="6"/>
        <v/>
      </c>
      <c r="AC14" s="10"/>
      <c r="AD14" s="10"/>
      <c r="AE14" s="10"/>
      <c r="AF14" s="10"/>
      <c r="AG14" s="10"/>
    </row>
    <row r="15" spans="1:35">
      <c r="B15" s="10"/>
      <c r="M15" s="16"/>
      <c r="N15" s="16" t="str">
        <f t="shared" si="0"/>
        <v/>
      </c>
      <c r="O15" s="16" t="str">
        <f t="shared" si="1"/>
        <v/>
      </c>
      <c r="P15" s="9"/>
      <c r="Q15" s="9"/>
      <c r="R15" s="9"/>
      <c r="S15" s="9"/>
      <c r="T15" s="16" t="str">
        <f t="shared" si="2"/>
        <v/>
      </c>
      <c r="U15" s="16" t="str">
        <f t="shared" si="3"/>
        <v/>
      </c>
      <c r="V15" s="16"/>
      <c r="W15" s="16"/>
      <c r="X15" s="16"/>
      <c r="Y15" s="16"/>
      <c r="Z15" s="16" t="str">
        <f t="shared" si="4"/>
        <v/>
      </c>
      <c r="AA15" s="16" t="str">
        <f t="shared" si="5"/>
        <v/>
      </c>
      <c r="AB15" s="11" t="str">
        <f t="shared" si="6"/>
        <v/>
      </c>
      <c r="AC15" s="10"/>
      <c r="AD15" s="10"/>
      <c r="AE15" s="10"/>
      <c r="AF15" s="10"/>
      <c r="AG15" s="10"/>
    </row>
    <row r="16" spans="1:35">
      <c r="B16" s="10"/>
      <c r="M16" s="16"/>
      <c r="N16" s="16" t="str">
        <f t="shared" si="0"/>
        <v/>
      </c>
      <c r="O16" s="16" t="str">
        <f t="shared" si="1"/>
        <v/>
      </c>
      <c r="P16" s="9"/>
      <c r="Q16" s="9"/>
      <c r="R16" s="9"/>
      <c r="S16" s="9"/>
      <c r="T16" s="16" t="str">
        <f t="shared" si="2"/>
        <v/>
      </c>
      <c r="U16" s="16" t="str">
        <f t="shared" si="3"/>
        <v/>
      </c>
      <c r="V16" s="16"/>
      <c r="W16" s="16"/>
      <c r="X16" s="16"/>
      <c r="Y16" s="16"/>
      <c r="Z16" s="16" t="str">
        <f t="shared" si="4"/>
        <v/>
      </c>
      <c r="AA16" s="16" t="str">
        <f t="shared" si="5"/>
        <v/>
      </c>
      <c r="AB16" s="11" t="str">
        <f t="shared" si="6"/>
        <v/>
      </c>
      <c r="AC16" s="10"/>
      <c r="AD16" s="10"/>
      <c r="AE16" s="10"/>
      <c r="AF16" s="10"/>
      <c r="AG16" s="10"/>
    </row>
    <row r="17" spans="2:33">
      <c r="B17" s="10"/>
      <c r="M17" s="16"/>
      <c r="N17" s="16" t="str">
        <f t="shared" si="0"/>
        <v/>
      </c>
      <c r="O17" s="16" t="str">
        <f t="shared" si="1"/>
        <v/>
      </c>
      <c r="P17" s="9"/>
      <c r="Q17" s="9"/>
      <c r="R17" s="9"/>
      <c r="S17" s="9"/>
      <c r="T17" s="16" t="str">
        <f t="shared" si="2"/>
        <v/>
      </c>
      <c r="U17" s="16" t="str">
        <f t="shared" si="3"/>
        <v/>
      </c>
      <c r="V17" s="16"/>
      <c r="W17" s="16"/>
      <c r="X17" s="16"/>
      <c r="Y17" s="16"/>
      <c r="Z17" s="16" t="str">
        <f t="shared" si="4"/>
        <v/>
      </c>
      <c r="AA17" s="16" t="str">
        <f t="shared" si="5"/>
        <v/>
      </c>
      <c r="AB17" s="11" t="str">
        <f t="shared" si="6"/>
        <v/>
      </c>
      <c r="AC17" s="10"/>
      <c r="AD17" s="10"/>
      <c r="AE17" s="10"/>
      <c r="AF17" s="10"/>
      <c r="AG17" s="10"/>
    </row>
    <row r="18" spans="2:33">
      <c r="B18" s="10"/>
      <c r="M18" s="16"/>
      <c r="N18" s="16" t="str">
        <f t="shared" si="0"/>
        <v/>
      </c>
      <c r="O18" s="16" t="str">
        <f t="shared" si="1"/>
        <v/>
      </c>
      <c r="P18" s="9"/>
      <c r="Q18" s="9"/>
      <c r="R18" s="9"/>
      <c r="S18" s="9"/>
      <c r="T18" s="16" t="str">
        <f t="shared" si="2"/>
        <v/>
      </c>
      <c r="U18" s="16" t="str">
        <f t="shared" si="3"/>
        <v/>
      </c>
      <c r="V18" s="16"/>
      <c r="W18" s="16"/>
      <c r="X18" s="16"/>
      <c r="Y18" s="16"/>
      <c r="Z18" s="16" t="str">
        <f t="shared" si="4"/>
        <v/>
      </c>
      <c r="AA18" s="16" t="str">
        <f t="shared" si="5"/>
        <v/>
      </c>
      <c r="AB18" s="11" t="str">
        <f t="shared" si="6"/>
        <v/>
      </c>
      <c r="AC18" s="10"/>
      <c r="AD18" s="10"/>
      <c r="AE18" s="10"/>
      <c r="AF18" s="10"/>
      <c r="AG18" s="10"/>
    </row>
    <row r="19" spans="2:33">
      <c r="B19" s="10"/>
      <c r="M19" s="16"/>
      <c r="N19" s="16" t="str">
        <f t="shared" si="0"/>
        <v/>
      </c>
      <c r="O19" s="16" t="str">
        <f t="shared" si="1"/>
        <v/>
      </c>
      <c r="P19" s="9"/>
      <c r="Q19" s="9"/>
      <c r="R19" s="9"/>
      <c r="S19" s="9"/>
      <c r="T19" s="16" t="str">
        <f t="shared" si="2"/>
        <v/>
      </c>
      <c r="U19" s="16" t="str">
        <f t="shared" si="3"/>
        <v/>
      </c>
      <c r="V19" s="16"/>
      <c r="W19" s="16"/>
      <c r="X19" s="16"/>
      <c r="Y19" s="16"/>
      <c r="Z19" s="16" t="str">
        <f t="shared" si="4"/>
        <v/>
      </c>
      <c r="AA19" s="16" t="str">
        <f t="shared" si="5"/>
        <v/>
      </c>
      <c r="AB19" s="11" t="str">
        <f t="shared" si="6"/>
        <v/>
      </c>
      <c r="AC19" s="10"/>
      <c r="AD19" s="10"/>
      <c r="AE19" s="10"/>
      <c r="AF19" s="10"/>
      <c r="AG19" s="10"/>
    </row>
    <row r="20" spans="2:33">
      <c r="B20" s="10"/>
      <c r="M20" s="16"/>
      <c r="N20" s="16" t="str">
        <f t="shared" si="0"/>
        <v/>
      </c>
      <c r="O20" s="16" t="str">
        <f t="shared" si="1"/>
        <v/>
      </c>
      <c r="P20" s="9"/>
      <c r="Q20" s="9"/>
      <c r="R20" s="9"/>
      <c r="S20" s="9"/>
      <c r="T20" s="16" t="str">
        <f t="shared" si="2"/>
        <v/>
      </c>
      <c r="U20" s="16" t="str">
        <f t="shared" si="3"/>
        <v/>
      </c>
      <c r="V20" s="16"/>
      <c r="W20" s="16"/>
      <c r="X20" s="16"/>
      <c r="Y20" s="16"/>
      <c r="Z20" s="16" t="str">
        <f t="shared" si="4"/>
        <v/>
      </c>
      <c r="AA20" s="16" t="str">
        <f t="shared" si="5"/>
        <v/>
      </c>
      <c r="AB20" s="11" t="str">
        <f t="shared" si="6"/>
        <v/>
      </c>
      <c r="AC20" s="10"/>
      <c r="AD20" s="10"/>
      <c r="AE20" s="10"/>
      <c r="AF20" s="10"/>
      <c r="AG20" s="10"/>
    </row>
    <row r="21" spans="2:33">
      <c r="B21" s="10"/>
      <c r="M21" s="16"/>
      <c r="N21" s="16" t="str">
        <f t="shared" si="0"/>
        <v/>
      </c>
      <c r="O21" s="16" t="str">
        <f t="shared" si="1"/>
        <v/>
      </c>
      <c r="P21" s="9"/>
      <c r="Q21" s="9"/>
      <c r="R21" s="9"/>
      <c r="S21" s="9"/>
      <c r="T21" s="16" t="str">
        <f t="shared" si="2"/>
        <v/>
      </c>
      <c r="U21" s="16" t="str">
        <f t="shared" si="3"/>
        <v/>
      </c>
      <c r="V21" s="16"/>
      <c r="W21" s="16"/>
      <c r="X21" s="16"/>
      <c r="Y21" s="16"/>
      <c r="Z21" s="16" t="str">
        <f t="shared" si="4"/>
        <v/>
      </c>
      <c r="AA21" s="16" t="str">
        <f t="shared" si="5"/>
        <v/>
      </c>
      <c r="AB21" s="11" t="str">
        <f t="shared" si="6"/>
        <v/>
      </c>
      <c r="AC21" s="10"/>
      <c r="AD21" s="10"/>
      <c r="AE21" s="10"/>
      <c r="AF21" s="10"/>
      <c r="AG21" s="10"/>
    </row>
    <row r="22" spans="2:33">
      <c r="B22" s="10"/>
      <c r="M22" s="16"/>
      <c r="N22" s="16" t="str">
        <f t="shared" si="0"/>
        <v/>
      </c>
      <c r="O22" s="16" t="str">
        <f t="shared" si="1"/>
        <v/>
      </c>
      <c r="P22" s="9"/>
      <c r="Q22" s="9"/>
      <c r="R22" s="9"/>
      <c r="S22" s="9"/>
      <c r="T22" s="16" t="str">
        <f t="shared" si="2"/>
        <v/>
      </c>
      <c r="U22" s="16" t="str">
        <f t="shared" si="3"/>
        <v/>
      </c>
      <c r="V22" s="16"/>
      <c r="W22" s="16"/>
      <c r="X22" s="16"/>
      <c r="Y22" s="16"/>
      <c r="Z22" s="16" t="str">
        <f t="shared" si="4"/>
        <v/>
      </c>
      <c r="AA22" s="16" t="str">
        <f t="shared" si="5"/>
        <v/>
      </c>
      <c r="AB22" s="11" t="str">
        <f t="shared" si="6"/>
        <v/>
      </c>
      <c r="AC22" s="10"/>
      <c r="AD22" s="10"/>
      <c r="AE22" s="10"/>
      <c r="AF22" s="10"/>
      <c r="AG22" s="10"/>
    </row>
    <row r="23" spans="2:33">
      <c r="B23" s="10"/>
      <c r="M23" s="16"/>
      <c r="N23" s="16" t="str">
        <f t="shared" si="0"/>
        <v/>
      </c>
      <c r="O23" s="16" t="str">
        <f t="shared" si="1"/>
        <v/>
      </c>
      <c r="P23" s="9"/>
      <c r="Q23" s="9"/>
      <c r="R23" s="9"/>
      <c r="S23" s="9"/>
      <c r="T23" s="16" t="str">
        <f t="shared" si="2"/>
        <v/>
      </c>
      <c r="U23" s="16" t="str">
        <f t="shared" si="3"/>
        <v/>
      </c>
      <c r="V23" s="16"/>
      <c r="W23" s="16"/>
      <c r="X23" s="16"/>
      <c r="Y23" s="16"/>
      <c r="Z23" s="16" t="str">
        <f t="shared" si="4"/>
        <v/>
      </c>
      <c r="AA23" s="16" t="str">
        <f t="shared" si="5"/>
        <v/>
      </c>
      <c r="AB23" s="11" t="str">
        <f t="shared" si="6"/>
        <v/>
      </c>
      <c r="AC23" s="10"/>
      <c r="AD23" s="10"/>
      <c r="AE23" s="10"/>
      <c r="AF23" s="10"/>
      <c r="AG23" s="10"/>
    </row>
    <row r="24" spans="2:33">
      <c r="B24" s="10"/>
      <c r="M24" s="16"/>
      <c r="N24" s="16" t="str">
        <f t="shared" si="0"/>
        <v/>
      </c>
      <c r="O24" s="16" t="str">
        <f t="shared" si="1"/>
        <v/>
      </c>
      <c r="P24" s="9"/>
      <c r="Q24" s="9"/>
      <c r="R24" s="9"/>
      <c r="S24" s="9"/>
      <c r="T24" s="16" t="str">
        <f t="shared" si="2"/>
        <v/>
      </c>
      <c r="U24" s="16" t="str">
        <f t="shared" si="3"/>
        <v/>
      </c>
      <c r="V24" s="16"/>
      <c r="W24" s="16"/>
      <c r="X24" s="16"/>
      <c r="Y24" s="16"/>
      <c r="Z24" s="16" t="str">
        <f t="shared" si="4"/>
        <v/>
      </c>
      <c r="AA24" s="16" t="str">
        <f t="shared" si="5"/>
        <v/>
      </c>
      <c r="AB24" s="11" t="str">
        <f t="shared" si="6"/>
        <v/>
      </c>
      <c r="AC24" s="10"/>
      <c r="AD24" s="10"/>
      <c r="AE24" s="10"/>
      <c r="AF24" s="10"/>
      <c r="AG24" s="10"/>
    </row>
    <row r="25" spans="2:33">
      <c r="B25" s="10"/>
      <c r="M25" s="16"/>
      <c r="N25" s="16" t="str">
        <f t="shared" si="0"/>
        <v/>
      </c>
      <c r="O25" s="16" t="str">
        <f t="shared" si="1"/>
        <v/>
      </c>
      <c r="P25" s="9"/>
      <c r="Q25" s="9"/>
      <c r="R25" s="9"/>
      <c r="S25" s="9"/>
      <c r="T25" s="16" t="str">
        <f t="shared" si="2"/>
        <v/>
      </c>
      <c r="U25" s="16" t="str">
        <f t="shared" si="3"/>
        <v/>
      </c>
      <c r="V25" s="16"/>
      <c r="W25" s="16"/>
      <c r="X25" s="16"/>
      <c r="Y25" s="16"/>
      <c r="Z25" s="16" t="str">
        <f t="shared" si="4"/>
        <v/>
      </c>
      <c r="AA25" s="16" t="str">
        <f t="shared" si="5"/>
        <v/>
      </c>
      <c r="AB25" s="11" t="str">
        <f t="shared" si="6"/>
        <v/>
      </c>
      <c r="AC25" s="10"/>
      <c r="AD25" s="10"/>
      <c r="AE25" s="10"/>
      <c r="AF25" s="10"/>
      <c r="AG25" s="10"/>
    </row>
    <row r="26" spans="2:33">
      <c r="B26" s="10"/>
      <c r="M26" s="16"/>
      <c r="N26" s="16" t="str">
        <f t="shared" si="0"/>
        <v/>
      </c>
      <c r="O26" s="16" t="str">
        <f t="shared" si="1"/>
        <v/>
      </c>
      <c r="P26" s="9"/>
      <c r="Q26" s="9"/>
      <c r="R26" s="9"/>
      <c r="S26" s="9"/>
      <c r="T26" s="16" t="str">
        <f t="shared" si="2"/>
        <v/>
      </c>
      <c r="U26" s="16" t="str">
        <f t="shared" si="3"/>
        <v/>
      </c>
      <c r="V26" s="16"/>
      <c r="W26" s="16"/>
      <c r="X26" s="16"/>
      <c r="Y26" s="16"/>
      <c r="Z26" s="16" t="str">
        <f t="shared" si="4"/>
        <v/>
      </c>
      <c r="AA26" s="16" t="str">
        <f t="shared" si="5"/>
        <v/>
      </c>
      <c r="AB26" s="11" t="str">
        <f t="shared" si="6"/>
        <v/>
      </c>
      <c r="AC26" s="10"/>
      <c r="AD26" s="10"/>
      <c r="AE26" s="10"/>
      <c r="AF26" s="10"/>
      <c r="AG26" s="10"/>
    </row>
    <row r="27" spans="2:33">
      <c r="B27" s="10"/>
      <c r="M27" s="16"/>
      <c r="N27" s="16" t="str">
        <f t="shared" si="0"/>
        <v/>
      </c>
      <c r="O27" s="16" t="str">
        <f t="shared" si="1"/>
        <v/>
      </c>
      <c r="P27" s="9"/>
      <c r="Q27" s="9"/>
      <c r="R27" s="9"/>
      <c r="S27" s="9"/>
      <c r="T27" s="16" t="str">
        <f t="shared" si="2"/>
        <v/>
      </c>
      <c r="U27" s="16" t="str">
        <f t="shared" si="3"/>
        <v/>
      </c>
      <c r="V27" s="16"/>
      <c r="W27" s="16"/>
      <c r="X27" s="16"/>
      <c r="Y27" s="16"/>
      <c r="Z27" s="16" t="str">
        <f t="shared" si="4"/>
        <v/>
      </c>
      <c r="AA27" s="16" t="str">
        <f t="shared" si="5"/>
        <v/>
      </c>
      <c r="AB27" s="11" t="str">
        <f t="shared" si="6"/>
        <v/>
      </c>
      <c r="AC27" s="10"/>
      <c r="AD27" s="10"/>
      <c r="AE27" s="10"/>
      <c r="AF27" s="10"/>
      <c r="AG27" s="10"/>
    </row>
    <row r="28" spans="2:33">
      <c r="B28" s="10"/>
      <c r="M28" s="16"/>
      <c r="N28" s="16" t="str">
        <f t="shared" si="0"/>
        <v/>
      </c>
      <c r="O28" s="16" t="str">
        <f t="shared" si="1"/>
        <v/>
      </c>
      <c r="P28" s="9"/>
      <c r="Q28" s="9"/>
      <c r="R28" s="9"/>
      <c r="S28" s="9"/>
      <c r="T28" s="16" t="str">
        <f t="shared" si="2"/>
        <v/>
      </c>
      <c r="U28" s="16" t="str">
        <f t="shared" si="3"/>
        <v/>
      </c>
      <c r="V28" s="16"/>
      <c r="W28" s="16"/>
      <c r="X28" s="16"/>
      <c r="Y28" s="16"/>
      <c r="Z28" s="16" t="str">
        <f t="shared" si="4"/>
        <v/>
      </c>
      <c r="AA28" s="16" t="str">
        <f t="shared" si="5"/>
        <v/>
      </c>
      <c r="AB28" s="11" t="str">
        <f t="shared" si="6"/>
        <v/>
      </c>
      <c r="AC28" s="10"/>
      <c r="AD28" s="10"/>
      <c r="AE28" s="10"/>
      <c r="AF28" s="10"/>
      <c r="AG28" s="10"/>
    </row>
    <row r="29" spans="2:33">
      <c r="B29" s="10"/>
      <c r="M29" s="16"/>
      <c r="N29" s="16" t="str">
        <f t="shared" si="0"/>
        <v/>
      </c>
      <c r="O29" s="16" t="str">
        <f t="shared" si="1"/>
        <v/>
      </c>
      <c r="P29" s="9"/>
      <c r="Q29" s="9"/>
      <c r="R29" s="9"/>
      <c r="S29" s="9"/>
      <c r="T29" s="16" t="str">
        <f t="shared" si="2"/>
        <v/>
      </c>
      <c r="U29" s="16" t="str">
        <f t="shared" si="3"/>
        <v/>
      </c>
      <c r="V29" s="16"/>
      <c r="W29" s="16"/>
      <c r="X29" s="16"/>
      <c r="Y29" s="16"/>
      <c r="Z29" s="16" t="str">
        <f t="shared" si="4"/>
        <v/>
      </c>
      <c r="AA29" s="16" t="str">
        <f t="shared" si="5"/>
        <v/>
      </c>
      <c r="AB29" s="11" t="str">
        <f t="shared" si="6"/>
        <v/>
      </c>
      <c r="AC29" s="10"/>
      <c r="AD29" s="10"/>
      <c r="AE29" s="10"/>
      <c r="AF29" s="10"/>
      <c r="AG29" s="10"/>
    </row>
    <row r="30" spans="2:33">
      <c r="B30" s="10"/>
      <c r="M30" s="16"/>
      <c r="N30" s="16" t="str">
        <f t="shared" si="0"/>
        <v/>
      </c>
      <c r="O30" s="16" t="str">
        <f t="shared" si="1"/>
        <v/>
      </c>
      <c r="P30" s="9"/>
      <c r="Q30" s="9"/>
      <c r="R30" s="9"/>
      <c r="S30" s="9"/>
      <c r="T30" s="16" t="str">
        <f t="shared" si="2"/>
        <v/>
      </c>
      <c r="U30" s="16" t="str">
        <f t="shared" si="3"/>
        <v/>
      </c>
      <c r="V30" s="16"/>
      <c r="W30" s="16"/>
      <c r="X30" s="16"/>
      <c r="Y30" s="16"/>
      <c r="Z30" s="16" t="str">
        <f t="shared" si="4"/>
        <v/>
      </c>
      <c r="AA30" s="16" t="str">
        <f t="shared" si="5"/>
        <v/>
      </c>
      <c r="AB30" s="11" t="str">
        <f t="shared" si="6"/>
        <v/>
      </c>
      <c r="AC30" s="10"/>
      <c r="AD30" s="10"/>
      <c r="AE30" s="10"/>
      <c r="AF30" s="10"/>
      <c r="AG30" s="10"/>
    </row>
    <row r="31" spans="2:33">
      <c r="B31" s="10"/>
      <c r="M31" s="16"/>
      <c r="N31" s="16" t="str">
        <f t="shared" si="0"/>
        <v/>
      </c>
      <c r="O31" s="16" t="str">
        <f t="shared" si="1"/>
        <v/>
      </c>
      <c r="P31" s="9"/>
      <c r="Q31" s="9"/>
      <c r="R31" s="9"/>
      <c r="S31" s="9"/>
      <c r="T31" s="16" t="str">
        <f t="shared" si="2"/>
        <v/>
      </c>
      <c r="U31" s="16" t="str">
        <f t="shared" si="3"/>
        <v/>
      </c>
      <c r="V31" s="16"/>
      <c r="W31" s="16"/>
      <c r="X31" s="16"/>
      <c r="Y31" s="16"/>
      <c r="Z31" s="16" t="str">
        <f t="shared" si="4"/>
        <v/>
      </c>
      <c r="AA31" s="16" t="str">
        <f t="shared" si="5"/>
        <v/>
      </c>
      <c r="AB31" s="11" t="str">
        <f t="shared" si="6"/>
        <v/>
      </c>
      <c r="AC31" s="10"/>
      <c r="AD31" s="10"/>
      <c r="AE31" s="10"/>
      <c r="AF31" s="10"/>
      <c r="AG31" s="10"/>
    </row>
    <row r="32" spans="2:33">
      <c r="B32" s="10"/>
      <c r="M32" s="16"/>
      <c r="N32" s="16" t="str">
        <f t="shared" si="0"/>
        <v/>
      </c>
      <c r="O32" s="16" t="str">
        <f t="shared" si="1"/>
        <v/>
      </c>
      <c r="P32" s="9"/>
      <c r="Q32" s="9"/>
      <c r="R32" s="9"/>
      <c r="S32" s="9"/>
      <c r="T32" s="16" t="str">
        <f t="shared" si="2"/>
        <v/>
      </c>
      <c r="U32" s="16" t="str">
        <f t="shared" si="3"/>
        <v/>
      </c>
      <c r="V32" s="16"/>
      <c r="W32" s="16"/>
      <c r="X32" s="16"/>
      <c r="Y32" s="16"/>
      <c r="Z32" s="16" t="str">
        <f t="shared" si="4"/>
        <v/>
      </c>
      <c r="AA32" s="16" t="str">
        <f t="shared" si="5"/>
        <v/>
      </c>
      <c r="AB32" s="11" t="str">
        <f t="shared" si="6"/>
        <v/>
      </c>
      <c r="AC32" s="10"/>
      <c r="AD32" s="10"/>
      <c r="AE32" s="10"/>
      <c r="AF32" s="10"/>
      <c r="AG32" s="10"/>
    </row>
    <row r="33" spans="2:33">
      <c r="B33" s="10"/>
      <c r="M33" s="16"/>
      <c r="N33" s="16" t="str">
        <f t="shared" si="0"/>
        <v/>
      </c>
      <c r="O33" s="16" t="str">
        <f t="shared" si="1"/>
        <v/>
      </c>
      <c r="P33" s="9"/>
      <c r="Q33" s="9"/>
      <c r="R33" s="9"/>
      <c r="S33" s="9"/>
      <c r="T33" s="16" t="str">
        <f t="shared" si="2"/>
        <v/>
      </c>
      <c r="U33" s="16" t="str">
        <f t="shared" si="3"/>
        <v/>
      </c>
      <c r="V33" s="16"/>
      <c r="W33" s="16"/>
      <c r="X33" s="16"/>
      <c r="Y33" s="16"/>
      <c r="Z33" s="16" t="str">
        <f t="shared" si="4"/>
        <v/>
      </c>
      <c r="AA33" s="16" t="str">
        <f t="shared" si="5"/>
        <v/>
      </c>
      <c r="AB33" s="11" t="str">
        <f t="shared" si="6"/>
        <v/>
      </c>
      <c r="AC33" s="10"/>
      <c r="AD33" s="10"/>
      <c r="AE33" s="10"/>
      <c r="AF33" s="10"/>
      <c r="AG33" s="10"/>
    </row>
    <row r="34" spans="2:33">
      <c r="B34" s="10"/>
      <c r="M34" s="16"/>
      <c r="N34" s="16" t="str">
        <f t="shared" ref="N34:N65" si="7">IF(M34="","",M34*0.077)</f>
        <v/>
      </c>
      <c r="O34" s="16" t="str">
        <f t="shared" ref="O34:O65" si="8">IF(M34="","",M34-N34)</f>
        <v/>
      </c>
      <c r="P34" s="9"/>
      <c r="Q34" s="9"/>
      <c r="R34" s="9"/>
      <c r="S34" s="9"/>
      <c r="T34" s="16" t="str">
        <f t="shared" ref="T34:T65" si="9">IF(OR(Q34="",S34=""),"",IF(OR(R34="USD",R34="EUR",R34="GBP"),Q34*S34,Q34))</f>
        <v/>
      </c>
      <c r="U34" s="16" t="str">
        <f t="shared" ref="U34:U65" si="10">IF(T34="","",IF(ISNUMBER(SEARCH("MyUS",P34)),T34*0.08,0))</f>
        <v/>
      </c>
      <c r="V34" s="16"/>
      <c r="W34" s="16"/>
      <c r="X34" s="16"/>
      <c r="Y34" s="16"/>
      <c r="Z34" s="16" t="str">
        <f t="shared" ref="Z34:Z65" si="11">IF(T34="","",SUM(T34:Y34))</f>
        <v/>
      </c>
      <c r="AA34" s="16" t="str">
        <f t="shared" ref="AA34:AA65" si="12">IF(M34="","",O34-Z34)</f>
        <v/>
      </c>
      <c r="AB34" s="11" t="str">
        <f t="shared" ref="AB34:AB65" si="13">IF(M34="","",AA34/M34)</f>
        <v/>
      </c>
      <c r="AC34" s="10"/>
      <c r="AD34" s="10"/>
      <c r="AE34" s="10"/>
      <c r="AF34" s="10"/>
      <c r="AG34" s="10"/>
    </row>
    <row r="35" spans="2:33">
      <c r="B35" s="10"/>
      <c r="M35" s="16"/>
      <c r="N35" s="16" t="str">
        <f t="shared" si="7"/>
        <v/>
      </c>
      <c r="O35" s="16" t="str">
        <f t="shared" si="8"/>
        <v/>
      </c>
      <c r="P35" s="9"/>
      <c r="Q35" s="9"/>
      <c r="R35" s="9"/>
      <c r="S35" s="9"/>
      <c r="T35" s="16" t="str">
        <f t="shared" si="9"/>
        <v/>
      </c>
      <c r="U35" s="16" t="str">
        <f t="shared" si="10"/>
        <v/>
      </c>
      <c r="V35" s="16"/>
      <c r="W35" s="16"/>
      <c r="X35" s="16"/>
      <c r="Y35" s="16"/>
      <c r="Z35" s="16" t="str">
        <f t="shared" si="11"/>
        <v/>
      </c>
      <c r="AA35" s="16" t="str">
        <f t="shared" si="12"/>
        <v/>
      </c>
      <c r="AB35" s="11" t="str">
        <f t="shared" si="13"/>
        <v/>
      </c>
      <c r="AC35" s="10"/>
      <c r="AD35" s="10"/>
      <c r="AE35" s="10"/>
      <c r="AF35" s="10"/>
      <c r="AG35" s="10"/>
    </row>
    <row r="36" spans="2:33">
      <c r="B36" s="10"/>
      <c r="M36" s="16"/>
      <c r="N36" s="16" t="str">
        <f t="shared" si="7"/>
        <v/>
      </c>
      <c r="O36" s="16" t="str">
        <f t="shared" si="8"/>
        <v/>
      </c>
      <c r="P36" s="9"/>
      <c r="Q36" s="9"/>
      <c r="R36" s="9"/>
      <c r="S36" s="9"/>
      <c r="T36" s="16" t="str">
        <f t="shared" si="9"/>
        <v/>
      </c>
      <c r="U36" s="16" t="str">
        <f t="shared" si="10"/>
        <v/>
      </c>
      <c r="V36" s="16"/>
      <c r="W36" s="16"/>
      <c r="X36" s="16"/>
      <c r="Y36" s="16"/>
      <c r="Z36" s="16" t="str">
        <f t="shared" si="11"/>
        <v/>
      </c>
      <c r="AA36" s="16" t="str">
        <f t="shared" si="12"/>
        <v/>
      </c>
      <c r="AB36" s="11" t="str">
        <f t="shared" si="13"/>
        <v/>
      </c>
      <c r="AC36" s="10"/>
      <c r="AD36" s="10"/>
      <c r="AE36" s="10"/>
      <c r="AF36" s="10"/>
      <c r="AG36" s="10"/>
    </row>
    <row r="37" spans="2:33">
      <c r="B37" s="10"/>
      <c r="M37" s="16"/>
      <c r="N37" s="16" t="str">
        <f t="shared" si="7"/>
        <v/>
      </c>
      <c r="O37" s="16" t="str">
        <f t="shared" si="8"/>
        <v/>
      </c>
      <c r="P37" s="9"/>
      <c r="Q37" s="9"/>
      <c r="R37" s="9"/>
      <c r="S37" s="9"/>
      <c r="T37" s="16" t="str">
        <f t="shared" si="9"/>
        <v/>
      </c>
      <c r="U37" s="16" t="str">
        <f t="shared" si="10"/>
        <v/>
      </c>
      <c r="V37" s="16"/>
      <c r="W37" s="16"/>
      <c r="X37" s="16"/>
      <c r="Y37" s="16"/>
      <c r="Z37" s="16" t="str">
        <f t="shared" si="11"/>
        <v/>
      </c>
      <c r="AA37" s="16" t="str">
        <f t="shared" si="12"/>
        <v/>
      </c>
      <c r="AB37" s="11" t="str">
        <f t="shared" si="13"/>
        <v/>
      </c>
      <c r="AC37" s="10"/>
      <c r="AD37" s="10"/>
      <c r="AE37" s="10"/>
      <c r="AF37" s="10"/>
      <c r="AG37" s="10"/>
    </row>
    <row r="38" spans="2:33">
      <c r="B38" s="10"/>
      <c r="M38" s="16"/>
      <c r="N38" s="16" t="str">
        <f t="shared" si="7"/>
        <v/>
      </c>
      <c r="O38" s="16" t="str">
        <f t="shared" si="8"/>
        <v/>
      </c>
      <c r="P38" s="9"/>
      <c r="Q38" s="9"/>
      <c r="R38" s="9"/>
      <c r="S38" s="9"/>
      <c r="T38" s="16" t="str">
        <f t="shared" si="9"/>
        <v/>
      </c>
      <c r="U38" s="16" t="str">
        <f t="shared" si="10"/>
        <v/>
      </c>
      <c r="V38" s="16"/>
      <c r="W38" s="16"/>
      <c r="X38" s="16"/>
      <c r="Y38" s="16"/>
      <c r="Z38" s="16" t="str">
        <f t="shared" si="11"/>
        <v/>
      </c>
      <c r="AA38" s="16" t="str">
        <f t="shared" si="12"/>
        <v/>
      </c>
      <c r="AB38" s="11" t="str">
        <f t="shared" si="13"/>
        <v/>
      </c>
      <c r="AC38" s="10"/>
      <c r="AD38" s="10"/>
      <c r="AE38" s="10"/>
      <c r="AF38" s="10"/>
      <c r="AG38" s="10"/>
    </row>
    <row r="39" spans="2:33">
      <c r="B39" s="10"/>
      <c r="M39" s="16"/>
      <c r="N39" s="16" t="str">
        <f t="shared" si="7"/>
        <v/>
      </c>
      <c r="O39" s="16" t="str">
        <f t="shared" si="8"/>
        <v/>
      </c>
      <c r="P39" s="9"/>
      <c r="Q39" s="9"/>
      <c r="R39" s="9"/>
      <c r="S39" s="9"/>
      <c r="T39" s="16" t="str">
        <f t="shared" si="9"/>
        <v/>
      </c>
      <c r="U39" s="16" t="str">
        <f t="shared" si="10"/>
        <v/>
      </c>
      <c r="V39" s="16"/>
      <c r="W39" s="16"/>
      <c r="X39" s="16"/>
      <c r="Y39" s="16"/>
      <c r="Z39" s="16" t="str">
        <f t="shared" si="11"/>
        <v/>
      </c>
      <c r="AA39" s="16" t="str">
        <f t="shared" si="12"/>
        <v/>
      </c>
      <c r="AB39" s="11" t="str">
        <f t="shared" si="13"/>
        <v/>
      </c>
      <c r="AC39" s="10"/>
      <c r="AD39" s="10"/>
      <c r="AE39" s="10"/>
      <c r="AF39" s="10"/>
      <c r="AG39" s="10"/>
    </row>
    <row r="40" spans="2:33">
      <c r="B40" s="10"/>
      <c r="M40" s="16"/>
      <c r="N40" s="16" t="str">
        <f t="shared" si="7"/>
        <v/>
      </c>
      <c r="O40" s="16" t="str">
        <f t="shared" si="8"/>
        <v/>
      </c>
      <c r="P40" s="9"/>
      <c r="Q40" s="9"/>
      <c r="R40" s="9"/>
      <c r="S40" s="9"/>
      <c r="T40" s="16" t="str">
        <f t="shared" si="9"/>
        <v/>
      </c>
      <c r="U40" s="16" t="str">
        <f t="shared" si="10"/>
        <v/>
      </c>
      <c r="V40" s="16"/>
      <c r="W40" s="16"/>
      <c r="X40" s="16"/>
      <c r="Y40" s="16"/>
      <c r="Z40" s="16" t="str">
        <f t="shared" si="11"/>
        <v/>
      </c>
      <c r="AA40" s="16" t="str">
        <f t="shared" si="12"/>
        <v/>
      </c>
      <c r="AB40" s="11" t="str">
        <f t="shared" si="13"/>
        <v/>
      </c>
      <c r="AC40" s="10"/>
      <c r="AD40" s="10"/>
      <c r="AE40" s="10"/>
      <c r="AF40" s="10"/>
      <c r="AG40" s="10"/>
    </row>
    <row r="41" spans="2:33">
      <c r="B41" s="10"/>
      <c r="M41" s="16"/>
      <c r="N41" s="16" t="str">
        <f t="shared" si="7"/>
        <v/>
      </c>
      <c r="O41" s="16" t="str">
        <f t="shared" si="8"/>
        <v/>
      </c>
      <c r="P41" s="9"/>
      <c r="Q41" s="9"/>
      <c r="R41" s="9"/>
      <c r="S41" s="9"/>
      <c r="T41" s="16" t="str">
        <f t="shared" si="9"/>
        <v/>
      </c>
      <c r="U41" s="16" t="str">
        <f t="shared" si="10"/>
        <v/>
      </c>
      <c r="V41" s="16"/>
      <c r="W41" s="16"/>
      <c r="X41" s="16"/>
      <c r="Y41" s="16"/>
      <c r="Z41" s="16" t="str">
        <f t="shared" si="11"/>
        <v/>
      </c>
      <c r="AA41" s="16" t="str">
        <f t="shared" si="12"/>
        <v/>
      </c>
      <c r="AB41" s="11" t="str">
        <f t="shared" si="13"/>
        <v/>
      </c>
      <c r="AC41" s="10"/>
      <c r="AD41" s="10"/>
      <c r="AE41" s="10"/>
      <c r="AF41" s="10"/>
      <c r="AG41" s="10"/>
    </row>
    <row r="42" spans="2:33">
      <c r="B42" s="10"/>
      <c r="M42" s="16"/>
      <c r="N42" s="16" t="str">
        <f t="shared" si="7"/>
        <v/>
      </c>
      <c r="O42" s="16" t="str">
        <f t="shared" si="8"/>
        <v/>
      </c>
      <c r="P42" s="9"/>
      <c r="Q42" s="9"/>
      <c r="R42" s="9"/>
      <c r="S42" s="9"/>
      <c r="T42" s="16" t="str">
        <f t="shared" si="9"/>
        <v/>
      </c>
      <c r="U42" s="16" t="str">
        <f t="shared" si="10"/>
        <v/>
      </c>
      <c r="V42" s="16"/>
      <c r="W42" s="16"/>
      <c r="X42" s="16"/>
      <c r="Y42" s="16"/>
      <c r="Z42" s="16" t="str">
        <f t="shared" si="11"/>
        <v/>
      </c>
      <c r="AA42" s="16" t="str">
        <f t="shared" si="12"/>
        <v/>
      </c>
      <c r="AB42" s="11" t="str">
        <f t="shared" si="13"/>
        <v/>
      </c>
      <c r="AC42" s="10"/>
      <c r="AD42" s="10"/>
      <c r="AE42" s="10"/>
      <c r="AF42" s="10"/>
      <c r="AG42" s="10"/>
    </row>
    <row r="43" spans="2:33">
      <c r="B43" s="10"/>
      <c r="M43" s="16"/>
      <c r="N43" s="16" t="str">
        <f t="shared" si="7"/>
        <v/>
      </c>
      <c r="O43" s="16" t="str">
        <f t="shared" si="8"/>
        <v/>
      </c>
      <c r="P43" s="9"/>
      <c r="Q43" s="9"/>
      <c r="R43" s="9"/>
      <c r="S43" s="9"/>
      <c r="T43" s="16" t="str">
        <f t="shared" si="9"/>
        <v/>
      </c>
      <c r="U43" s="16" t="str">
        <f t="shared" si="10"/>
        <v/>
      </c>
      <c r="V43" s="16"/>
      <c r="W43" s="16"/>
      <c r="X43" s="16"/>
      <c r="Y43" s="16"/>
      <c r="Z43" s="16" t="str">
        <f t="shared" si="11"/>
        <v/>
      </c>
      <c r="AA43" s="16" t="str">
        <f t="shared" si="12"/>
        <v/>
      </c>
      <c r="AB43" s="11" t="str">
        <f t="shared" si="13"/>
        <v/>
      </c>
      <c r="AC43" s="10"/>
      <c r="AD43" s="10"/>
      <c r="AE43" s="10"/>
      <c r="AF43" s="10"/>
      <c r="AG43" s="10"/>
    </row>
    <row r="44" spans="2:33">
      <c r="B44" s="10"/>
      <c r="M44" s="16"/>
      <c r="N44" s="16" t="str">
        <f t="shared" si="7"/>
        <v/>
      </c>
      <c r="O44" s="16" t="str">
        <f t="shared" si="8"/>
        <v/>
      </c>
      <c r="P44" s="9"/>
      <c r="Q44" s="9"/>
      <c r="R44" s="9"/>
      <c r="S44" s="9"/>
      <c r="T44" s="16" t="str">
        <f t="shared" si="9"/>
        <v/>
      </c>
      <c r="U44" s="16" t="str">
        <f t="shared" si="10"/>
        <v/>
      </c>
      <c r="V44" s="16"/>
      <c r="W44" s="16"/>
      <c r="X44" s="16"/>
      <c r="Y44" s="16"/>
      <c r="Z44" s="16" t="str">
        <f t="shared" si="11"/>
        <v/>
      </c>
      <c r="AA44" s="16" t="str">
        <f t="shared" si="12"/>
        <v/>
      </c>
      <c r="AB44" s="11" t="str">
        <f t="shared" si="13"/>
        <v/>
      </c>
      <c r="AC44" s="10"/>
      <c r="AD44" s="10"/>
      <c r="AE44" s="10"/>
      <c r="AF44" s="10"/>
      <c r="AG44" s="10"/>
    </row>
    <row r="45" spans="2:33">
      <c r="B45" s="10"/>
      <c r="M45" s="16"/>
      <c r="N45" s="16" t="str">
        <f t="shared" si="7"/>
        <v/>
      </c>
      <c r="O45" s="16" t="str">
        <f t="shared" si="8"/>
        <v/>
      </c>
      <c r="P45" s="9"/>
      <c r="Q45" s="9"/>
      <c r="R45" s="9"/>
      <c r="S45" s="9"/>
      <c r="T45" s="16" t="str">
        <f t="shared" si="9"/>
        <v/>
      </c>
      <c r="U45" s="16" t="str">
        <f t="shared" si="10"/>
        <v/>
      </c>
      <c r="V45" s="16"/>
      <c r="W45" s="16"/>
      <c r="X45" s="16"/>
      <c r="Y45" s="16"/>
      <c r="Z45" s="16" t="str">
        <f t="shared" si="11"/>
        <v/>
      </c>
      <c r="AA45" s="16" t="str">
        <f t="shared" si="12"/>
        <v/>
      </c>
      <c r="AB45" s="11" t="str">
        <f t="shared" si="13"/>
        <v/>
      </c>
      <c r="AC45" s="10"/>
      <c r="AD45" s="10"/>
      <c r="AE45" s="10"/>
      <c r="AF45" s="10"/>
      <c r="AG45" s="10"/>
    </row>
    <row r="46" spans="2:33">
      <c r="B46" s="10"/>
      <c r="M46" s="16"/>
      <c r="N46" s="16" t="str">
        <f t="shared" si="7"/>
        <v/>
      </c>
      <c r="O46" s="16" t="str">
        <f t="shared" si="8"/>
        <v/>
      </c>
      <c r="P46" s="9"/>
      <c r="Q46" s="9"/>
      <c r="R46" s="9"/>
      <c r="S46" s="9"/>
      <c r="T46" s="16" t="str">
        <f t="shared" si="9"/>
        <v/>
      </c>
      <c r="U46" s="16" t="str">
        <f t="shared" si="10"/>
        <v/>
      </c>
      <c r="V46" s="16"/>
      <c r="W46" s="16"/>
      <c r="X46" s="16"/>
      <c r="Y46" s="16"/>
      <c r="Z46" s="16" t="str">
        <f t="shared" si="11"/>
        <v/>
      </c>
      <c r="AA46" s="16" t="str">
        <f t="shared" si="12"/>
        <v/>
      </c>
      <c r="AB46" s="11" t="str">
        <f t="shared" si="13"/>
        <v/>
      </c>
      <c r="AC46" s="10"/>
      <c r="AD46" s="10"/>
      <c r="AE46" s="10"/>
      <c r="AF46" s="10"/>
      <c r="AG46" s="10"/>
    </row>
    <row r="47" spans="2:33">
      <c r="B47" s="10"/>
      <c r="M47" s="16"/>
      <c r="N47" s="16" t="str">
        <f t="shared" si="7"/>
        <v/>
      </c>
      <c r="O47" s="16" t="str">
        <f t="shared" si="8"/>
        <v/>
      </c>
      <c r="P47" s="9"/>
      <c r="Q47" s="9"/>
      <c r="R47" s="9"/>
      <c r="S47" s="9"/>
      <c r="T47" s="16" t="str">
        <f t="shared" si="9"/>
        <v/>
      </c>
      <c r="U47" s="16" t="str">
        <f t="shared" si="10"/>
        <v/>
      </c>
      <c r="V47" s="16"/>
      <c r="W47" s="16"/>
      <c r="X47" s="16"/>
      <c r="Y47" s="16"/>
      <c r="Z47" s="16" t="str">
        <f t="shared" si="11"/>
        <v/>
      </c>
      <c r="AA47" s="16" t="str">
        <f t="shared" si="12"/>
        <v/>
      </c>
      <c r="AB47" s="11" t="str">
        <f t="shared" si="13"/>
        <v/>
      </c>
      <c r="AC47" s="10"/>
      <c r="AD47" s="10"/>
      <c r="AE47" s="10"/>
      <c r="AF47" s="10"/>
      <c r="AG47" s="10"/>
    </row>
    <row r="48" spans="2:33">
      <c r="B48" s="10"/>
      <c r="M48" s="16"/>
      <c r="N48" s="16" t="str">
        <f t="shared" si="7"/>
        <v/>
      </c>
      <c r="O48" s="16" t="str">
        <f t="shared" si="8"/>
        <v/>
      </c>
      <c r="P48" s="9"/>
      <c r="Q48" s="9"/>
      <c r="R48" s="9"/>
      <c r="S48" s="9"/>
      <c r="T48" s="16" t="str">
        <f t="shared" si="9"/>
        <v/>
      </c>
      <c r="U48" s="16" t="str">
        <f t="shared" si="10"/>
        <v/>
      </c>
      <c r="V48" s="16"/>
      <c r="W48" s="16"/>
      <c r="X48" s="16"/>
      <c r="Y48" s="16"/>
      <c r="Z48" s="16" t="str">
        <f t="shared" si="11"/>
        <v/>
      </c>
      <c r="AA48" s="16" t="str">
        <f t="shared" si="12"/>
        <v/>
      </c>
      <c r="AB48" s="11" t="str">
        <f t="shared" si="13"/>
        <v/>
      </c>
      <c r="AC48" s="10"/>
      <c r="AD48" s="10"/>
      <c r="AE48" s="10"/>
      <c r="AF48" s="10"/>
      <c r="AG48" s="10"/>
    </row>
    <row r="49" spans="2:33">
      <c r="B49" s="10"/>
      <c r="M49" s="16"/>
      <c r="N49" s="16" t="str">
        <f t="shared" si="7"/>
        <v/>
      </c>
      <c r="O49" s="16" t="str">
        <f t="shared" si="8"/>
        <v/>
      </c>
      <c r="P49" s="9"/>
      <c r="Q49" s="9"/>
      <c r="R49" s="9"/>
      <c r="S49" s="9"/>
      <c r="T49" s="16" t="str">
        <f t="shared" si="9"/>
        <v/>
      </c>
      <c r="U49" s="16" t="str">
        <f t="shared" si="10"/>
        <v/>
      </c>
      <c r="V49" s="16"/>
      <c r="W49" s="16"/>
      <c r="X49" s="16"/>
      <c r="Y49" s="16"/>
      <c r="Z49" s="16" t="str">
        <f t="shared" si="11"/>
        <v/>
      </c>
      <c r="AA49" s="16" t="str">
        <f t="shared" si="12"/>
        <v/>
      </c>
      <c r="AB49" s="11" t="str">
        <f t="shared" si="13"/>
        <v/>
      </c>
      <c r="AC49" s="10"/>
      <c r="AD49" s="10"/>
      <c r="AE49" s="10"/>
      <c r="AF49" s="10"/>
      <c r="AG49" s="10"/>
    </row>
    <row r="50" spans="2:33">
      <c r="B50" s="10"/>
      <c r="M50" s="16"/>
      <c r="N50" s="16" t="str">
        <f t="shared" si="7"/>
        <v/>
      </c>
      <c r="O50" s="16" t="str">
        <f t="shared" si="8"/>
        <v/>
      </c>
      <c r="P50" s="9"/>
      <c r="Q50" s="9"/>
      <c r="R50" s="9"/>
      <c r="S50" s="9"/>
      <c r="T50" s="16" t="str">
        <f t="shared" si="9"/>
        <v/>
      </c>
      <c r="U50" s="16" t="str">
        <f t="shared" si="10"/>
        <v/>
      </c>
      <c r="V50" s="16"/>
      <c r="W50" s="16"/>
      <c r="X50" s="16"/>
      <c r="Y50" s="16"/>
      <c r="Z50" s="16" t="str">
        <f t="shared" si="11"/>
        <v/>
      </c>
      <c r="AA50" s="16" t="str">
        <f t="shared" si="12"/>
        <v/>
      </c>
      <c r="AB50" s="11" t="str">
        <f t="shared" si="13"/>
        <v/>
      </c>
      <c r="AC50" s="10"/>
      <c r="AD50" s="10"/>
      <c r="AE50" s="10"/>
      <c r="AF50" s="10"/>
      <c r="AG50" s="10"/>
    </row>
    <row r="51" spans="2:33">
      <c r="B51" s="10"/>
      <c r="M51" s="16"/>
      <c r="N51" s="16" t="str">
        <f t="shared" si="7"/>
        <v/>
      </c>
      <c r="O51" s="16" t="str">
        <f t="shared" si="8"/>
        <v/>
      </c>
      <c r="P51" s="9"/>
      <c r="Q51" s="9"/>
      <c r="R51" s="9"/>
      <c r="S51" s="9"/>
      <c r="T51" s="16" t="str">
        <f t="shared" si="9"/>
        <v/>
      </c>
      <c r="U51" s="16" t="str">
        <f t="shared" si="10"/>
        <v/>
      </c>
      <c r="V51" s="16"/>
      <c r="W51" s="16"/>
      <c r="X51" s="16"/>
      <c r="Y51" s="16"/>
      <c r="Z51" s="16" t="str">
        <f t="shared" si="11"/>
        <v/>
      </c>
      <c r="AA51" s="16" t="str">
        <f t="shared" si="12"/>
        <v/>
      </c>
      <c r="AB51" s="11" t="str">
        <f t="shared" si="13"/>
        <v/>
      </c>
      <c r="AC51" s="10"/>
      <c r="AD51" s="10"/>
      <c r="AE51" s="10"/>
      <c r="AF51" s="10"/>
      <c r="AG51" s="10"/>
    </row>
    <row r="52" spans="2:33">
      <c r="B52" s="10"/>
      <c r="M52" s="16"/>
      <c r="N52" s="16" t="str">
        <f t="shared" si="7"/>
        <v/>
      </c>
      <c r="O52" s="16" t="str">
        <f t="shared" si="8"/>
        <v/>
      </c>
      <c r="P52" s="9"/>
      <c r="Q52" s="9"/>
      <c r="R52" s="9"/>
      <c r="S52" s="9"/>
      <c r="T52" s="16" t="str">
        <f t="shared" si="9"/>
        <v/>
      </c>
      <c r="U52" s="16" t="str">
        <f t="shared" si="10"/>
        <v/>
      </c>
      <c r="V52" s="16"/>
      <c r="W52" s="16"/>
      <c r="X52" s="16"/>
      <c r="Y52" s="16"/>
      <c r="Z52" s="16" t="str">
        <f t="shared" si="11"/>
        <v/>
      </c>
      <c r="AA52" s="16" t="str">
        <f t="shared" si="12"/>
        <v/>
      </c>
      <c r="AB52" s="11" t="str">
        <f t="shared" si="13"/>
        <v/>
      </c>
      <c r="AC52" s="10"/>
      <c r="AD52" s="10"/>
      <c r="AE52" s="10"/>
      <c r="AF52" s="10"/>
      <c r="AG52" s="10"/>
    </row>
    <row r="53" spans="2:33">
      <c r="B53" s="10"/>
      <c r="M53" s="16"/>
      <c r="N53" s="16" t="str">
        <f t="shared" si="7"/>
        <v/>
      </c>
      <c r="O53" s="16" t="str">
        <f t="shared" si="8"/>
        <v/>
      </c>
      <c r="P53" s="9"/>
      <c r="Q53" s="9"/>
      <c r="R53" s="9"/>
      <c r="S53" s="9"/>
      <c r="T53" s="16" t="str">
        <f t="shared" si="9"/>
        <v/>
      </c>
      <c r="U53" s="16" t="str">
        <f t="shared" si="10"/>
        <v/>
      </c>
      <c r="V53" s="16"/>
      <c r="W53" s="16"/>
      <c r="X53" s="16"/>
      <c r="Y53" s="16"/>
      <c r="Z53" s="16" t="str">
        <f t="shared" si="11"/>
        <v/>
      </c>
      <c r="AA53" s="16" t="str">
        <f t="shared" si="12"/>
        <v/>
      </c>
      <c r="AB53" s="11" t="str">
        <f t="shared" si="13"/>
        <v/>
      </c>
      <c r="AC53" s="10"/>
      <c r="AD53" s="10"/>
      <c r="AE53" s="10"/>
      <c r="AF53" s="10"/>
      <c r="AG53" s="10"/>
    </row>
    <row r="54" spans="2:33">
      <c r="B54" s="10"/>
      <c r="M54" s="16"/>
      <c r="N54" s="16" t="str">
        <f t="shared" si="7"/>
        <v/>
      </c>
      <c r="O54" s="16" t="str">
        <f t="shared" si="8"/>
        <v/>
      </c>
      <c r="P54" s="9"/>
      <c r="Q54" s="9"/>
      <c r="R54" s="9"/>
      <c r="S54" s="9"/>
      <c r="T54" s="16" t="str">
        <f t="shared" si="9"/>
        <v/>
      </c>
      <c r="U54" s="16" t="str">
        <f t="shared" si="10"/>
        <v/>
      </c>
      <c r="V54" s="16"/>
      <c r="W54" s="16"/>
      <c r="X54" s="16"/>
      <c r="Y54" s="16"/>
      <c r="Z54" s="16" t="str">
        <f t="shared" si="11"/>
        <v/>
      </c>
      <c r="AA54" s="16" t="str">
        <f t="shared" si="12"/>
        <v/>
      </c>
      <c r="AB54" s="11" t="str">
        <f t="shared" si="13"/>
        <v/>
      </c>
      <c r="AC54" s="10"/>
      <c r="AD54" s="10"/>
      <c r="AE54" s="10"/>
      <c r="AF54" s="10"/>
      <c r="AG54" s="10"/>
    </row>
    <row r="55" spans="2:33">
      <c r="B55" s="10"/>
      <c r="M55" s="16"/>
      <c r="N55" s="16" t="str">
        <f t="shared" si="7"/>
        <v/>
      </c>
      <c r="O55" s="16" t="str">
        <f t="shared" si="8"/>
        <v/>
      </c>
      <c r="P55" s="9"/>
      <c r="Q55" s="9"/>
      <c r="R55" s="9"/>
      <c r="S55" s="9"/>
      <c r="T55" s="16" t="str">
        <f t="shared" si="9"/>
        <v/>
      </c>
      <c r="U55" s="16" t="str">
        <f t="shared" si="10"/>
        <v/>
      </c>
      <c r="V55" s="16"/>
      <c r="W55" s="16"/>
      <c r="X55" s="16"/>
      <c r="Y55" s="16"/>
      <c r="Z55" s="16" t="str">
        <f t="shared" si="11"/>
        <v/>
      </c>
      <c r="AA55" s="16" t="str">
        <f t="shared" si="12"/>
        <v/>
      </c>
      <c r="AB55" s="11" t="str">
        <f t="shared" si="13"/>
        <v/>
      </c>
      <c r="AC55" s="10"/>
      <c r="AD55" s="10"/>
      <c r="AE55" s="10"/>
      <c r="AF55" s="10"/>
      <c r="AG55" s="10"/>
    </row>
    <row r="56" spans="2:33">
      <c r="B56" s="10"/>
      <c r="M56" s="16"/>
      <c r="N56" s="16" t="str">
        <f t="shared" si="7"/>
        <v/>
      </c>
      <c r="O56" s="16" t="str">
        <f t="shared" si="8"/>
        <v/>
      </c>
      <c r="P56" s="9"/>
      <c r="Q56" s="9"/>
      <c r="R56" s="9"/>
      <c r="S56" s="9"/>
      <c r="T56" s="16" t="str">
        <f t="shared" si="9"/>
        <v/>
      </c>
      <c r="U56" s="16" t="str">
        <f t="shared" si="10"/>
        <v/>
      </c>
      <c r="V56" s="16"/>
      <c r="W56" s="16"/>
      <c r="X56" s="16"/>
      <c r="Y56" s="16"/>
      <c r="Z56" s="16" t="str">
        <f t="shared" si="11"/>
        <v/>
      </c>
      <c r="AA56" s="16" t="str">
        <f t="shared" si="12"/>
        <v/>
      </c>
      <c r="AB56" s="11" t="str">
        <f t="shared" si="13"/>
        <v/>
      </c>
      <c r="AC56" s="10"/>
      <c r="AD56" s="10"/>
      <c r="AE56" s="10"/>
      <c r="AF56" s="10"/>
      <c r="AG56" s="10"/>
    </row>
    <row r="57" spans="2:33">
      <c r="B57" s="10"/>
      <c r="M57" s="16"/>
      <c r="N57" s="16" t="str">
        <f t="shared" si="7"/>
        <v/>
      </c>
      <c r="O57" s="16" t="str">
        <f t="shared" si="8"/>
        <v/>
      </c>
      <c r="P57" s="9"/>
      <c r="Q57" s="9"/>
      <c r="R57" s="9"/>
      <c r="S57" s="9"/>
      <c r="T57" s="16" t="str">
        <f t="shared" si="9"/>
        <v/>
      </c>
      <c r="U57" s="16" t="str">
        <f t="shared" si="10"/>
        <v/>
      </c>
      <c r="V57" s="16"/>
      <c r="W57" s="16"/>
      <c r="X57" s="16"/>
      <c r="Y57" s="16"/>
      <c r="Z57" s="16" t="str">
        <f t="shared" si="11"/>
        <v/>
      </c>
      <c r="AA57" s="16" t="str">
        <f t="shared" si="12"/>
        <v/>
      </c>
      <c r="AB57" s="11" t="str">
        <f t="shared" si="13"/>
        <v/>
      </c>
      <c r="AC57" s="10"/>
      <c r="AD57" s="10"/>
      <c r="AE57" s="10"/>
      <c r="AF57" s="10"/>
      <c r="AG57" s="10"/>
    </row>
    <row r="58" spans="2:33">
      <c r="B58" s="10"/>
      <c r="M58" s="16"/>
      <c r="N58" s="16" t="str">
        <f t="shared" si="7"/>
        <v/>
      </c>
      <c r="O58" s="16" t="str">
        <f t="shared" si="8"/>
        <v/>
      </c>
      <c r="P58" s="9"/>
      <c r="Q58" s="9"/>
      <c r="R58" s="9"/>
      <c r="S58" s="9"/>
      <c r="T58" s="16" t="str">
        <f t="shared" si="9"/>
        <v/>
      </c>
      <c r="U58" s="16" t="str">
        <f t="shared" si="10"/>
        <v/>
      </c>
      <c r="V58" s="16"/>
      <c r="W58" s="16"/>
      <c r="X58" s="16"/>
      <c r="Y58" s="16"/>
      <c r="Z58" s="16" t="str">
        <f t="shared" si="11"/>
        <v/>
      </c>
      <c r="AA58" s="16" t="str">
        <f t="shared" si="12"/>
        <v/>
      </c>
      <c r="AB58" s="11" t="str">
        <f t="shared" si="13"/>
        <v/>
      </c>
      <c r="AC58" s="10"/>
      <c r="AD58" s="10"/>
      <c r="AE58" s="10"/>
      <c r="AF58" s="10"/>
      <c r="AG58" s="10"/>
    </row>
    <row r="59" spans="2:33">
      <c r="B59" s="10"/>
      <c r="M59" s="16"/>
      <c r="N59" s="16" t="str">
        <f t="shared" si="7"/>
        <v/>
      </c>
      <c r="O59" s="16" t="str">
        <f t="shared" si="8"/>
        <v/>
      </c>
      <c r="P59" s="9"/>
      <c r="Q59" s="9"/>
      <c r="R59" s="9"/>
      <c r="S59" s="9"/>
      <c r="T59" s="16" t="str">
        <f t="shared" si="9"/>
        <v/>
      </c>
      <c r="U59" s="16" t="str">
        <f t="shared" si="10"/>
        <v/>
      </c>
      <c r="V59" s="16"/>
      <c r="W59" s="16"/>
      <c r="X59" s="16"/>
      <c r="Y59" s="16"/>
      <c r="Z59" s="16" t="str">
        <f t="shared" si="11"/>
        <v/>
      </c>
      <c r="AA59" s="16" t="str">
        <f t="shared" si="12"/>
        <v/>
      </c>
      <c r="AB59" s="11" t="str">
        <f t="shared" si="13"/>
        <v/>
      </c>
      <c r="AC59" s="10"/>
      <c r="AD59" s="10"/>
      <c r="AE59" s="10"/>
      <c r="AF59" s="10"/>
      <c r="AG59" s="10"/>
    </row>
    <row r="60" spans="2:33">
      <c r="B60" s="10"/>
      <c r="M60" s="16"/>
      <c r="N60" s="16" t="str">
        <f t="shared" si="7"/>
        <v/>
      </c>
      <c r="O60" s="16" t="str">
        <f t="shared" si="8"/>
        <v/>
      </c>
      <c r="P60" s="9"/>
      <c r="Q60" s="9"/>
      <c r="R60" s="9"/>
      <c r="S60" s="9"/>
      <c r="T60" s="16" t="str">
        <f t="shared" si="9"/>
        <v/>
      </c>
      <c r="U60" s="16" t="str">
        <f t="shared" si="10"/>
        <v/>
      </c>
      <c r="V60" s="16"/>
      <c r="W60" s="16"/>
      <c r="X60" s="16"/>
      <c r="Y60" s="16"/>
      <c r="Z60" s="16" t="str">
        <f t="shared" si="11"/>
        <v/>
      </c>
      <c r="AA60" s="16" t="str">
        <f t="shared" si="12"/>
        <v/>
      </c>
      <c r="AB60" s="11" t="str">
        <f t="shared" si="13"/>
        <v/>
      </c>
      <c r="AC60" s="10"/>
      <c r="AD60" s="10"/>
      <c r="AE60" s="10"/>
      <c r="AF60" s="10"/>
      <c r="AG60" s="10"/>
    </row>
    <row r="61" spans="2:33">
      <c r="B61" s="10"/>
      <c r="M61" s="16"/>
      <c r="N61" s="16" t="str">
        <f t="shared" si="7"/>
        <v/>
      </c>
      <c r="O61" s="16" t="str">
        <f t="shared" si="8"/>
        <v/>
      </c>
      <c r="P61" s="9"/>
      <c r="Q61" s="9"/>
      <c r="R61" s="9"/>
      <c r="S61" s="9"/>
      <c r="T61" s="16" t="str">
        <f t="shared" si="9"/>
        <v/>
      </c>
      <c r="U61" s="16" t="str">
        <f t="shared" si="10"/>
        <v/>
      </c>
      <c r="V61" s="16"/>
      <c r="W61" s="16"/>
      <c r="X61" s="16"/>
      <c r="Y61" s="16"/>
      <c r="Z61" s="16" t="str">
        <f t="shared" si="11"/>
        <v/>
      </c>
      <c r="AA61" s="16" t="str">
        <f t="shared" si="12"/>
        <v/>
      </c>
      <c r="AB61" s="11" t="str">
        <f t="shared" si="13"/>
        <v/>
      </c>
      <c r="AC61" s="10"/>
      <c r="AD61" s="10"/>
      <c r="AE61" s="10"/>
      <c r="AF61" s="10"/>
      <c r="AG61" s="10"/>
    </row>
    <row r="62" spans="2:33">
      <c r="B62" s="10"/>
      <c r="M62" s="16"/>
      <c r="N62" s="16" t="str">
        <f t="shared" si="7"/>
        <v/>
      </c>
      <c r="O62" s="16" t="str">
        <f t="shared" si="8"/>
        <v/>
      </c>
      <c r="P62" s="9"/>
      <c r="Q62" s="9"/>
      <c r="R62" s="9"/>
      <c r="S62" s="9"/>
      <c r="T62" s="16" t="str">
        <f t="shared" si="9"/>
        <v/>
      </c>
      <c r="U62" s="16" t="str">
        <f t="shared" si="10"/>
        <v/>
      </c>
      <c r="V62" s="16"/>
      <c r="W62" s="16"/>
      <c r="X62" s="16"/>
      <c r="Y62" s="16"/>
      <c r="Z62" s="16" t="str">
        <f t="shared" si="11"/>
        <v/>
      </c>
      <c r="AA62" s="16" t="str">
        <f t="shared" si="12"/>
        <v/>
      </c>
      <c r="AB62" s="11" t="str">
        <f t="shared" si="13"/>
        <v/>
      </c>
      <c r="AC62" s="10"/>
      <c r="AD62" s="10"/>
      <c r="AE62" s="10"/>
      <c r="AF62" s="10"/>
      <c r="AG62" s="10"/>
    </row>
    <row r="63" spans="2:33">
      <c r="B63" s="10"/>
      <c r="M63" s="16"/>
      <c r="N63" s="16" t="str">
        <f t="shared" si="7"/>
        <v/>
      </c>
      <c r="O63" s="16" t="str">
        <f t="shared" si="8"/>
        <v/>
      </c>
      <c r="P63" s="9"/>
      <c r="Q63" s="9"/>
      <c r="R63" s="9"/>
      <c r="S63" s="9"/>
      <c r="T63" s="16" t="str">
        <f t="shared" si="9"/>
        <v/>
      </c>
      <c r="U63" s="16" t="str">
        <f t="shared" si="10"/>
        <v/>
      </c>
      <c r="V63" s="16"/>
      <c r="W63" s="16"/>
      <c r="X63" s="16"/>
      <c r="Y63" s="16"/>
      <c r="Z63" s="16" t="str">
        <f t="shared" si="11"/>
        <v/>
      </c>
      <c r="AA63" s="16" t="str">
        <f t="shared" si="12"/>
        <v/>
      </c>
      <c r="AB63" s="11" t="str">
        <f t="shared" si="13"/>
        <v/>
      </c>
      <c r="AC63" s="10"/>
      <c r="AD63" s="10"/>
      <c r="AE63" s="10"/>
      <c r="AF63" s="10"/>
      <c r="AG63" s="10"/>
    </row>
    <row r="64" spans="2:33">
      <c r="B64" s="10"/>
      <c r="M64" s="16"/>
      <c r="N64" s="16" t="str">
        <f t="shared" si="7"/>
        <v/>
      </c>
      <c r="O64" s="16" t="str">
        <f t="shared" si="8"/>
        <v/>
      </c>
      <c r="P64" s="9"/>
      <c r="Q64" s="9"/>
      <c r="R64" s="9"/>
      <c r="S64" s="9"/>
      <c r="T64" s="16" t="str">
        <f t="shared" si="9"/>
        <v/>
      </c>
      <c r="U64" s="16" t="str">
        <f t="shared" si="10"/>
        <v/>
      </c>
      <c r="V64" s="16"/>
      <c r="W64" s="16"/>
      <c r="X64" s="16"/>
      <c r="Y64" s="16"/>
      <c r="Z64" s="16" t="str">
        <f t="shared" si="11"/>
        <v/>
      </c>
      <c r="AA64" s="16" t="str">
        <f t="shared" si="12"/>
        <v/>
      </c>
      <c r="AB64" s="11" t="str">
        <f t="shared" si="13"/>
        <v/>
      </c>
      <c r="AC64" s="10"/>
      <c r="AD64" s="10"/>
      <c r="AE64" s="10"/>
      <c r="AF64" s="10"/>
      <c r="AG64" s="10"/>
    </row>
    <row r="65" spans="2:33">
      <c r="B65" s="10"/>
      <c r="M65" s="16"/>
      <c r="N65" s="16" t="str">
        <f t="shared" si="7"/>
        <v/>
      </c>
      <c r="O65" s="16" t="str">
        <f t="shared" si="8"/>
        <v/>
      </c>
      <c r="P65" s="9"/>
      <c r="Q65" s="9"/>
      <c r="R65" s="9"/>
      <c r="S65" s="9"/>
      <c r="T65" s="16" t="str">
        <f t="shared" si="9"/>
        <v/>
      </c>
      <c r="U65" s="16" t="str">
        <f t="shared" si="10"/>
        <v/>
      </c>
      <c r="V65" s="16"/>
      <c r="W65" s="16"/>
      <c r="X65" s="16"/>
      <c r="Y65" s="16"/>
      <c r="Z65" s="16" t="str">
        <f t="shared" si="11"/>
        <v/>
      </c>
      <c r="AA65" s="16" t="str">
        <f t="shared" si="12"/>
        <v/>
      </c>
      <c r="AB65" s="11" t="str">
        <f t="shared" si="13"/>
        <v/>
      </c>
      <c r="AC65" s="10"/>
      <c r="AD65" s="10"/>
      <c r="AE65" s="10"/>
      <c r="AF65" s="10"/>
      <c r="AG65" s="10"/>
    </row>
    <row r="66" spans="2:33">
      <c r="B66" s="10"/>
      <c r="M66" s="16"/>
      <c r="N66" s="16" t="str">
        <f t="shared" ref="N66:N97" si="14">IF(M66="","",M66*0.077)</f>
        <v/>
      </c>
      <c r="O66" s="16" t="str">
        <f t="shared" ref="O66:O97" si="15">IF(M66="","",M66-N66)</f>
        <v/>
      </c>
      <c r="P66" s="9"/>
      <c r="Q66" s="9"/>
      <c r="R66" s="9"/>
      <c r="S66" s="9"/>
      <c r="T66" s="16" t="str">
        <f t="shared" ref="T66:T97" si="16">IF(OR(Q66="",S66=""),"",IF(OR(R66="USD",R66="EUR",R66="GBP"),Q66*S66,Q66))</f>
        <v/>
      </c>
      <c r="U66" s="16" t="str">
        <f t="shared" ref="U66:U97" si="17">IF(T66="","",IF(ISNUMBER(SEARCH("MyUS",P66)),T66*0.08,0))</f>
        <v/>
      </c>
      <c r="V66" s="16"/>
      <c r="W66" s="16"/>
      <c r="X66" s="16"/>
      <c r="Y66" s="16"/>
      <c r="Z66" s="16" t="str">
        <f t="shared" ref="Z66:Z97" si="18">IF(T66="","",SUM(T66:Y66))</f>
        <v/>
      </c>
      <c r="AA66" s="16" t="str">
        <f t="shared" ref="AA66:AA97" si="19">IF(M66="","",O66-Z66)</f>
        <v/>
      </c>
      <c r="AB66" s="11" t="str">
        <f t="shared" ref="AB66:AB97" si="20">IF(M66="","",AA66/M66)</f>
        <v/>
      </c>
      <c r="AC66" s="10"/>
      <c r="AD66" s="10"/>
      <c r="AE66" s="10"/>
      <c r="AF66" s="10"/>
      <c r="AG66" s="10"/>
    </row>
    <row r="67" spans="2:33">
      <c r="B67" s="10"/>
      <c r="M67" s="16"/>
      <c r="N67" s="16" t="str">
        <f t="shared" si="14"/>
        <v/>
      </c>
      <c r="O67" s="16" t="str">
        <f t="shared" si="15"/>
        <v/>
      </c>
      <c r="P67" s="9"/>
      <c r="Q67" s="9"/>
      <c r="R67" s="9"/>
      <c r="S67" s="9"/>
      <c r="T67" s="16" t="str">
        <f t="shared" si="16"/>
        <v/>
      </c>
      <c r="U67" s="16" t="str">
        <f t="shared" si="17"/>
        <v/>
      </c>
      <c r="V67" s="16"/>
      <c r="W67" s="16"/>
      <c r="X67" s="16"/>
      <c r="Y67" s="16"/>
      <c r="Z67" s="16" t="str">
        <f t="shared" si="18"/>
        <v/>
      </c>
      <c r="AA67" s="16" t="str">
        <f t="shared" si="19"/>
        <v/>
      </c>
      <c r="AB67" s="11" t="str">
        <f t="shared" si="20"/>
        <v/>
      </c>
      <c r="AC67" s="10"/>
      <c r="AD67" s="10"/>
      <c r="AE67" s="10"/>
      <c r="AF67" s="10"/>
      <c r="AG67" s="10"/>
    </row>
    <row r="68" spans="2:33">
      <c r="B68" s="10"/>
      <c r="M68" s="16"/>
      <c r="N68" s="16" t="str">
        <f t="shared" si="14"/>
        <v/>
      </c>
      <c r="O68" s="16" t="str">
        <f t="shared" si="15"/>
        <v/>
      </c>
      <c r="P68" s="9"/>
      <c r="Q68" s="9"/>
      <c r="R68" s="9"/>
      <c r="S68" s="9"/>
      <c r="T68" s="16" t="str">
        <f t="shared" si="16"/>
        <v/>
      </c>
      <c r="U68" s="16" t="str">
        <f t="shared" si="17"/>
        <v/>
      </c>
      <c r="V68" s="16"/>
      <c r="W68" s="16"/>
      <c r="X68" s="16"/>
      <c r="Y68" s="16"/>
      <c r="Z68" s="16" t="str">
        <f t="shared" si="18"/>
        <v/>
      </c>
      <c r="AA68" s="16" t="str">
        <f t="shared" si="19"/>
        <v/>
      </c>
      <c r="AB68" s="11" t="str">
        <f t="shared" si="20"/>
        <v/>
      </c>
      <c r="AC68" s="10"/>
      <c r="AD68" s="10"/>
      <c r="AE68" s="10"/>
      <c r="AF68" s="10"/>
      <c r="AG68" s="10"/>
    </row>
    <row r="69" spans="2:33">
      <c r="B69" s="10"/>
      <c r="M69" s="16"/>
      <c r="N69" s="16" t="str">
        <f t="shared" si="14"/>
        <v/>
      </c>
      <c r="O69" s="16" t="str">
        <f t="shared" si="15"/>
        <v/>
      </c>
      <c r="P69" s="9"/>
      <c r="Q69" s="9"/>
      <c r="R69" s="9"/>
      <c r="S69" s="9"/>
      <c r="T69" s="16" t="str">
        <f t="shared" si="16"/>
        <v/>
      </c>
      <c r="U69" s="16" t="str">
        <f t="shared" si="17"/>
        <v/>
      </c>
      <c r="V69" s="16"/>
      <c r="W69" s="16"/>
      <c r="X69" s="16"/>
      <c r="Y69" s="16"/>
      <c r="Z69" s="16" t="str">
        <f t="shared" si="18"/>
        <v/>
      </c>
      <c r="AA69" s="16" t="str">
        <f t="shared" si="19"/>
        <v/>
      </c>
      <c r="AB69" s="11" t="str">
        <f t="shared" si="20"/>
        <v/>
      </c>
      <c r="AC69" s="10"/>
      <c r="AD69" s="10"/>
      <c r="AE69" s="10"/>
      <c r="AF69" s="10"/>
      <c r="AG69" s="10"/>
    </row>
    <row r="70" spans="2:33">
      <c r="B70" s="10"/>
      <c r="M70" s="16"/>
      <c r="N70" s="16" t="str">
        <f t="shared" si="14"/>
        <v/>
      </c>
      <c r="O70" s="16" t="str">
        <f t="shared" si="15"/>
        <v/>
      </c>
      <c r="P70" s="9"/>
      <c r="Q70" s="9"/>
      <c r="R70" s="9"/>
      <c r="S70" s="9"/>
      <c r="T70" s="16" t="str">
        <f t="shared" si="16"/>
        <v/>
      </c>
      <c r="U70" s="16" t="str">
        <f t="shared" si="17"/>
        <v/>
      </c>
      <c r="V70" s="16"/>
      <c r="W70" s="16"/>
      <c r="X70" s="16"/>
      <c r="Y70" s="16"/>
      <c r="Z70" s="16" t="str">
        <f t="shared" si="18"/>
        <v/>
      </c>
      <c r="AA70" s="16" t="str">
        <f t="shared" si="19"/>
        <v/>
      </c>
      <c r="AB70" s="11" t="str">
        <f t="shared" si="20"/>
        <v/>
      </c>
      <c r="AC70" s="10"/>
      <c r="AD70" s="10"/>
      <c r="AE70" s="10"/>
      <c r="AF70" s="10"/>
      <c r="AG70" s="10"/>
    </row>
    <row r="71" spans="2:33">
      <c r="B71" s="10"/>
      <c r="M71" s="16"/>
      <c r="N71" s="16" t="str">
        <f t="shared" si="14"/>
        <v/>
      </c>
      <c r="O71" s="16" t="str">
        <f t="shared" si="15"/>
        <v/>
      </c>
      <c r="P71" s="9"/>
      <c r="Q71" s="9"/>
      <c r="R71" s="9"/>
      <c r="S71" s="9"/>
      <c r="T71" s="16" t="str">
        <f t="shared" si="16"/>
        <v/>
      </c>
      <c r="U71" s="16" t="str">
        <f t="shared" si="17"/>
        <v/>
      </c>
      <c r="V71" s="16"/>
      <c r="W71" s="16"/>
      <c r="X71" s="16"/>
      <c r="Y71" s="16"/>
      <c r="Z71" s="16" t="str">
        <f t="shared" si="18"/>
        <v/>
      </c>
      <c r="AA71" s="16" t="str">
        <f t="shared" si="19"/>
        <v/>
      </c>
      <c r="AB71" s="11" t="str">
        <f t="shared" si="20"/>
        <v/>
      </c>
      <c r="AC71" s="10"/>
      <c r="AD71" s="10"/>
      <c r="AE71" s="10"/>
      <c r="AF71" s="10"/>
      <c r="AG71" s="10"/>
    </row>
    <row r="72" spans="2:33">
      <c r="B72" s="10"/>
      <c r="M72" s="16"/>
      <c r="N72" s="16" t="str">
        <f t="shared" si="14"/>
        <v/>
      </c>
      <c r="O72" s="16" t="str">
        <f t="shared" si="15"/>
        <v/>
      </c>
      <c r="P72" s="9"/>
      <c r="Q72" s="9"/>
      <c r="R72" s="9"/>
      <c r="S72" s="9"/>
      <c r="T72" s="16" t="str">
        <f t="shared" si="16"/>
        <v/>
      </c>
      <c r="U72" s="16" t="str">
        <f t="shared" si="17"/>
        <v/>
      </c>
      <c r="V72" s="16"/>
      <c r="W72" s="16"/>
      <c r="X72" s="16"/>
      <c r="Y72" s="16"/>
      <c r="Z72" s="16" t="str">
        <f t="shared" si="18"/>
        <v/>
      </c>
      <c r="AA72" s="16" t="str">
        <f t="shared" si="19"/>
        <v/>
      </c>
      <c r="AB72" s="11" t="str">
        <f t="shared" si="20"/>
        <v/>
      </c>
      <c r="AC72" s="10"/>
      <c r="AD72" s="10"/>
      <c r="AE72" s="10"/>
      <c r="AF72" s="10"/>
      <c r="AG72" s="10"/>
    </row>
    <row r="73" spans="2:33">
      <c r="B73" s="10"/>
      <c r="M73" s="16"/>
      <c r="N73" s="16" t="str">
        <f t="shared" si="14"/>
        <v/>
      </c>
      <c r="O73" s="16" t="str">
        <f t="shared" si="15"/>
        <v/>
      </c>
      <c r="P73" s="9"/>
      <c r="Q73" s="9"/>
      <c r="R73" s="9"/>
      <c r="S73" s="9"/>
      <c r="T73" s="16" t="str">
        <f t="shared" si="16"/>
        <v/>
      </c>
      <c r="U73" s="16" t="str">
        <f t="shared" si="17"/>
        <v/>
      </c>
      <c r="V73" s="16"/>
      <c r="W73" s="16"/>
      <c r="X73" s="16"/>
      <c r="Y73" s="16"/>
      <c r="Z73" s="16" t="str">
        <f t="shared" si="18"/>
        <v/>
      </c>
      <c r="AA73" s="16" t="str">
        <f t="shared" si="19"/>
        <v/>
      </c>
      <c r="AB73" s="11" t="str">
        <f t="shared" si="20"/>
        <v/>
      </c>
      <c r="AC73" s="10"/>
      <c r="AD73" s="10"/>
      <c r="AE73" s="10"/>
      <c r="AF73" s="10"/>
      <c r="AG73" s="10"/>
    </row>
    <row r="74" spans="2:33">
      <c r="B74" s="10"/>
      <c r="M74" s="16"/>
      <c r="N74" s="16" t="str">
        <f t="shared" si="14"/>
        <v/>
      </c>
      <c r="O74" s="16" t="str">
        <f t="shared" si="15"/>
        <v/>
      </c>
      <c r="P74" s="9"/>
      <c r="Q74" s="9"/>
      <c r="R74" s="9"/>
      <c r="S74" s="9"/>
      <c r="T74" s="16" t="str">
        <f t="shared" si="16"/>
        <v/>
      </c>
      <c r="U74" s="16" t="str">
        <f t="shared" si="17"/>
        <v/>
      </c>
      <c r="V74" s="16"/>
      <c r="W74" s="16"/>
      <c r="X74" s="16"/>
      <c r="Y74" s="16"/>
      <c r="Z74" s="16" t="str">
        <f t="shared" si="18"/>
        <v/>
      </c>
      <c r="AA74" s="16" t="str">
        <f t="shared" si="19"/>
        <v/>
      </c>
      <c r="AB74" s="11" t="str">
        <f t="shared" si="20"/>
        <v/>
      </c>
      <c r="AC74" s="10"/>
      <c r="AD74" s="10"/>
      <c r="AE74" s="10"/>
      <c r="AF74" s="10"/>
      <c r="AG74" s="10"/>
    </row>
    <row r="75" spans="2:33">
      <c r="B75" s="10"/>
      <c r="M75" s="16"/>
      <c r="N75" s="16" t="str">
        <f t="shared" si="14"/>
        <v/>
      </c>
      <c r="O75" s="16" t="str">
        <f t="shared" si="15"/>
        <v/>
      </c>
      <c r="P75" s="9"/>
      <c r="Q75" s="9"/>
      <c r="R75" s="9"/>
      <c r="S75" s="9"/>
      <c r="T75" s="16" t="str">
        <f t="shared" si="16"/>
        <v/>
      </c>
      <c r="U75" s="16" t="str">
        <f t="shared" si="17"/>
        <v/>
      </c>
      <c r="V75" s="16"/>
      <c r="W75" s="16"/>
      <c r="X75" s="16"/>
      <c r="Y75" s="16"/>
      <c r="Z75" s="16" t="str">
        <f t="shared" si="18"/>
        <v/>
      </c>
      <c r="AA75" s="16" t="str">
        <f t="shared" si="19"/>
        <v/>
      </c>
      <c r="AB75" s="11" t="str">
        <f t="shared" si="20"/>
        <v/>
      </c>
      <c r="AC75" s="10"/>
      <c r="AD75" s="10"/>
      <c r="AE75" s="10"/>
      <c r="AF75" s="10"/>
      <c r="AG75" s="10"/>
    </row>
    <row r="76" spans="2:33">
      <c r="B76" s="10"/>
      <c r="M76" s="16"/>
      <c r="N76" s="16" t="str">
        <f t="shared" si="14"/>
        <v/>
      </c>
      <c r="O76" s="16" t="str">
        <f t="shared" si="15"/>
        <v/>
      </c>
      <c r="P76" s="9"/>
      <c r="Q76" s="9"/>
      <c r="R76" s="9"/>
      <c r="S76" s="9"/>
      <c r="T76" s="16" t="str">
        <f t="shared" si="16"/>
        <v/>
      </c>
      <c r="U76" s="16" t="str">
        <f t="shared" si="17"/>
        <v/>
      </c>
      <c r="V76" s="16"/>
      <c r="W76" s="16"/>
      <c r="X76" s="16"/>
      <c r="Y76" s="16"/>
      <c r="Z76" s="16" t="str">
        <f t="shared" si="18"/>
        <v/>
      </c>
      <c r="AA76" s="16" t="str">
        <f t="shared" si="19"/>
        <v/>
      </c>
      <c r="AB76" s="11" t="str">
        <f t="shared" si="20"/>
        <v/>
      </c>
      <c r="AC76" s="10"/>
      <c r="AD76" s="10"/>
      <c r="AE76" s="10"/>
      <c r="AF76" s="10"/>
      <c r="AG76" s="10"/>
    </row>
    <row r="77" spans="2:33">
      <c r="B77" s="10"/>
      <c r="M77" s="16"/>
      <c r="N77" s="16" t="str">
        <f t="shared" si="14"/>
        <v/>
      </c>
      <c r="O77" s="16" t="str">
        <f t="shared" si="15"/>
        <v/>
      </c>
      <c r="P77" s="9"/>
      <c r="Q77" s="9"/>
      <c r="R77" s="9"/>
      <c r="S77" s="9"/>
      <c r="T77" s="16" t="str">
        <f t="shared" si="16"/>
        <v/>
      </c>
      <c r="U77" s="16" t="str">
        <f t="shared" si="17"/>
        <v/>
      </c>
      <c r="V77" s="16"/>
      <c r="W77" s="16"/>
      <c r="X77" s="16"/>
      <c r="Y77" s="16"/>
      <c r="Z77" s="16" t="str">
        <f t="shared" si="18"/>
        <v/>
      </c>
      <c r="AA77" s="16" t="str">
        <f t="shared" si="19"/>
        <v/>
      </c>
      <c r="AB77" s="11" t="str">
        <f t="shared" si="20"/>
        <v/>
      </c>
      <c r="AC77" s="10"/>
      <c r="AD77" s="10"/>
      <c r="AE77" s="10"/>
      <c r="AF77" s="10"/>
      <c r="AG77" s="10"/>
    </row>
    <row r="78" spans="2:33">
      <c r="B78" s="10"/>
      <c r="M78" s="16"/>
      <c r="N78" s="16" t="str">
        <f t="shared" si="14"/>
        <v/>
      </c>
      <c r="O78" s="16" t="str">
        <f t="shared" si="15"/>
        <v/>
      </c>
      <c r="P78" s="9"/>
      <c r="Q78" s="9"/>
      <c r="R78" s="9"/>
      <c r="S78" s="9"/>
      <c r="T78" s="16" t="str">
        <f t="shared" si="16"/>
        <v/>
      </c>
      <c r="U78" s="16" t="str">
        <f t="shared" si="17"/>
        <v/>
      </c>
      <c r="V78" s="16"/>
      <c r="W78" s="16"/>
      <c r="X78" s="16"/>
      <c r="Y78" s="16"/>
      <c r="Z78" s="16" t="str">
        <f t="shared" si="18"/>
        <v/>
      </c>
      <c r="AA78" s="16" t="str">
        <f t="shared" si="19"/>
        <v/>
      </c>
      <c r="AB78" s="11" t="str">
        <f t="shared" si="20"/>
        <v/>
      </c>
      <c r="AC78" s="10"/>
      <c r="AD78" s="10"/>
      <c r="AE78" s="10"/>
      <c r="AF78" s="10"/>
      <c r="AG78" s="10"/>
    </row>
    <row r="79" spans="2:33">
      <c r="B79" s="10"/>
      <c r="M79" s="16"/>
      <c r="N79" s="16" t="str">
        <f t="shared" si="14"/>
        <v/>
      </c>
      <c r="O79" s="16" t="str">
        <f t="shared" si="15"/>
        <v/>
      </c>
      <c r="P79" s="9"/>
      <c r="Q79" s="9"/>
      <c r="R79" s="9"/>
      <c r="S79" s="9"/>
      <c r="T79" s="16" t="str">
        <f t="shared" si="16"/>
        <v/>
      </c>
      <c r="U79" s="16" t="str">
        <f t="shared" si="17"/>
        <v/>
      </c>
      <c r="V79" s="16"/>
      <c r="W79" s="16"/>
      <c r="X79" s="16"/>
      <c r="Y79" s="16"/>
      <c r="Z79" s="16" t="str">
        <f t="shared" si="18"/>
        <v/>
      </c>
      <c r="AA79" s="16" t="str">
        <f t="shared" si="19"/>
        <v/>
      </c>
      <c r="AB79" s="11" t="str">
        <f t="shared" si="20"/>
        <v/>
      </c>
      <c r="AC79" s="10"/>
      <c r="AD79" s="10"/>
      <c r="AE79" s="10"/>
      <c r="AF79" s="10"/>
      <c r="AG79" s="10"/>
    </row>
    <row r="80" spans="2:33">
      <c r="B80" s="10"/>
      <c r="M80" s="16"/>
      <c r="N80" s="16" t="str">
        <f t="shared" si="14"/>
        <v/>
      </c>
      <c r="O80" s="16" t="str">
        <f t="shared" si="15"/>
        <v/>
      </c>
      <c r="P80" s="9"/>
      <c r="Q80" s="9"/>
      <c r="R80" s="9"/>
      <c r="S80" s="9"/>
      <c r="T80" s="16" t="str">
        <f t="shared" si="16"/>
        <v/>
      </c>
      <c r="U80" s="16" t="str">
        <f t="shared" si="17"/>
        <v/>
      </c>
      <c r="V80" s="16"/>
      <c r="W80" s="16"/>
      <c r="X80" s="16"/>
      <c r="Y80" s="16"/>
      <c r="Z80" s="16" t="str">
        <f t="shared" si="18"/>
        <v/>
      </c>
      <c r="AA80" s="16" t="str">
        <f t="shared" si="19"/>
        <v/>
      </c>
      <c r="AB80" s="11" t="str">
        <f t="shared" si="20"/>
        <v/>
      </c>
      <c r="AC80" s="10"/>
      <c r="AD80" s="10"/>
      <c r="AE80" s="10"/>
      <c r="AF80" s="10"/>
      <c r="AG80" s="10"/>
    </row>
    <row r="81" spans="2:33">
      <c r="B81" s="10"/>
      <c r="M81" s="16"/>
      <c r="N81" s="16" t="str">
        <f t="shared" si="14"/>
        <v/>
      </c>
      <c r="O81" s="16" t="str">
        <f t="shared" si="15"/>
        <v/>
      </c>
      <c r="P81" s="9"/>
      <c r="Q81" s="9"/>
      <c r="R81" s="9"/>
      <c r="S81" s="9"/>
      <c r="T81" s="16" t="str">
        <f t="shared" si="16"/>
        <v/>
      </c>
      <c r="U81" s="16" t="str">
        <f t="shared" si="17"/>
        <v/>
      </c>
      <c r="V81" s="16"/>
      <c r="W81" s="16"/>
      <c r="X81" s="16"/>
      <c r="Y81" s="16"/>
      <c r="Z81" s="16" t="str">
        <f t="shared" si="18"/>
        <v/>
      </c>
      <c r="AA81" s="16" t="str">
        <f t="shared" si="19"/>
        <v/>
      </c>
      <c r="AB81" s="11" t="str">
        <f t="shared" si="20"/>
        <v/>
      </c>
      <c r="AC81" s="10"/>
      <c r="AD81" s="10"/>
      <c r="AE81" s="10"/>
      <c r="AF81" s="10"/>
      <c r="AG81" s="10"/>
    </row>
    <row r="82" spans="2:33">
      <c r="B82" s="10"/>
      <c r="M82" s="16"/>
      <c r="N82" s="16" t="str">
        <f t="shared" si="14"/>
        <v/>
      </c>
      <c r="O82" s="16" t="str">
        <f t="shared" si="15"/>
        <v/>
      </c>
      <c r="P82" s="9"/>
      <c r="Q82" s="9"/>
      <c r="R82" s="9"/>
      <c r="S82" s="9"/>
      <c r="T82" s="16" t="str">
        <f t="shared" si="16"/>
        <v/>
      </c>
      <c r="U82" s="16" t="str">
        <f t="shared" si="17"/>
        <v/>
      </c>
      <c r="V82" s="16"/>
      <c r="W82" s="16"/>
      <c r="X82" s="16"/>
      <c r="Y82" s="16"/>
      <c r="Z82" s="16" t="str">
        <f t="shared" si="18"/>
        <v/>
      </c>
      <c r="AA82" s="16" t="str">
        <f t="shared" si="19"/>
        <v/>
      </c>
      <c r="AB82" s="11" t="str">
        <f t="shared" si="20"/>
        <v/>
      </c>
      <c r="AC82" s="10"/>
      <c r="AD82" s="10"/>
      <c r="AE82" s="10"/>
      <c r="AF82" s="10"/>
      <c r="AG82" s="10"/>
    </row>
    <row r="83" spans="2:33">
      <c r="B83" s="10"/>
      <c r="M83" s="16"/>
      <c r="N83" s="16" t="str">
        <f t="shared" si="14"/>
        <v/>
      </c>
      <c r="O83" s="16" t="str">
        <f t="shared" si="15"/>
        <v/>
      </c>
      <c r="P83" s="9"/>
      <c r="Q83" s="9"/>
      <c r="R83" s="9"/>
      <c r="S83" s="9"/>
      <c r="T83" s="16" t="str">
        <f t="shared" si="16"/>
        <v/>
      </c>
      <c r="U83" s="16" t="str">
        <f t="shared" si="17"/>
        <v/>
      </c>
      <c r="V83" s="16"/>
      <c r="W83" s="16"/>
      <c r="X83" s="16"/>
      <c r="Y83" s="16"/>
      <c r="Z83" s="16" t="str">
        <f t="shared" si="18"/>
        <v/>
      </c>
      <c r="AA83" s="16" t="str">
        <f t="shared" si="19"/>
        <v/>
      </c>
      <c r="AB83" s="11" t="str">
        <f t="shared" si="20"/>
        <v/>
      </c>
      <c r="AC83" s="10"/>
      <c r="AD83" s="10"/>
      <c r="AE83" s="10"/>
      <c r="AF83" s="10"/>
      <c r="AG83" s="10"/>
    </row>
    <row r="84" spans="2:33">
      <c r="B84" s="10"/>
      <c r="M84" s="16"/>
      <c r="N84" s="16" t="str">
        <f t="shared" si="14"/>
        <v/>
      </c>
      <c r="O84" s="16" t="str">
        <f t="shared" si="15"/>
        <v/>
      </c>
      <c r="P84" s="9"/>
      <c r="Q84" s="9"/>
      <c r="R84" s="9"/>
      <c r="S84" s="9"/>
      <c r="T84" s="16" t="str">
        <f t="shared" si="16"/>
        <v/>
      </c>
      <c r="U84" s="16" t="str">
        <f t="shared" si="17"/>
        <v/>
      </c>
      <c r="V84" s="16"/>
      <c r="W84" s="16"/>
      <c r="X84" s="16"/>
      <c r="Y84" s="16"/>
      <c r="Z84" s="16" t="str">
        <f t="shared" si="18"/>
        <v/>
      </c>
      <c r="AA84" s="16" t="str">
        <f t="shared" si="19"/>
        <v/>
      </c>
      <c r="AB84" s="11" t="str">
        <f t="shared" si="20"/>
        <v/>
      </c>
      <c r="AC84" s="10"/>
      <c r="AD84" s="10"/>
      <c r="AE84" s="10"/>
      <c r="AF84" s="10"/>
      <c r="AG84" s="10"/>
    </row>
    <row r="85" spans="2:33">
      <c r="B85" s="10"/>
      <c r="M85" s="16"/>
      <c r="N85" s="16" t="str">
        <f t="shared" si="14"/>
        <v/>
      </c>
      <c r="O85" s="16" t="str">
        <f t="shared" si="15"/>
        <v/>
      </c>
      <c r="P85" s="9"/>
      <c r="Q85" s="9"/>
      <c r="R85" s="9"/>
      <c r="S85" s="9"/>
      <c r="T85" s="16" t="str">
        <f t="shared" si="16"/>
        <v/>
      </c>
      <c r="U85" s="16" t="str">
        <f t="shared" si="17"/>
        <v/>
      </c>
      <c r="V85" s="16"/>
      <c r="W85" s="16"/>
      <c r="X85" s="16"/>
      <c r="Y85" s="16"/>
      <c r="Z85" s="16" t="str">
        <f t="shared" si="18"/>
        <v/>
      </c>
      <c r="AA85" s="16" t="str">
        <f t="shared" si="19"/>
        <v/>
      </c>
      <c r="AB85" s="11" t="str">
        <f t="shared" si="20"/>
        <v/>
      </c>
      <c r="AC85" s="10"/>
      <c r="AD85" s="10"/>
      <c r="AE85" s="10"/>
      <c r="AF85" s="10"/>
      <c r="AG85" s="10"/>
    </row>
    <row r="86" spans="2:33">
      <c r="B86" s="10"/>
      <c r="M86" s="16"/>
      <c r="N86" s="16" t="str">
        <f t="shared" si="14"/>
        <v/>
      </c>
      <c r="O86" s="16" t="str">
        <f t="shared" si="15"/>
        <v/>
      </c>
      <c r="P86" s="9"/>
      <c r="Q86" s="9"/>
      <c r="R86" s="9"/>
      <c r="S86" s="9"/>
      <c r="T86" s="16" t="str">
        <f t="shared" si="16"/>
        <v/>
      </c>
      <c r="U86" s="16" t="str">
        <f t="shared" si="17"/>
        <v/>
      </c>
      <c r="V86" s="16"/>
      <c r="W86" s="16"/>
      <c r="X86" s="16"/>
      <c r="Y86" s="16"/>
      <c r="Z86" s="16" t="str">
        <f t="shared" si="18"/>
        <v/>
      </c>
      <c r="AA86" s="16" t="str">
        <f t="shared" si="19"/>
        <v/>
      </c>
      <c r="AB86" s="11" t="str">
        <f t="shared" si="20"/>
        <v/>
      </c>
      <c r="AC86" s="10"/>
      <c r="AD86" s="10"/>
      <c r="AE86" s="10"/>
      <c r="AF86" s="10"/>
      <c r="AG86" s="10"/>
    </row>
    <row r="87" spans="2:33">
      <c r="B87" s="10"/>
      <c r="M87" s="16"/>
      <c r="N87" s="16" t="str">
        <f t="shared" si="14"/>
        <v/>
      </c>
      <c r="O87" s="16" t="str">
        <f t="shared" si="15"/>
        <v/>
      </c>
      <c r="P87" s="9"/>
      <c r="Q87" s="9"/>
      <c r="R87" s="9"/>
      <c r="S87" s="9"/>
      <c r="T87" s="16" t="str">
        <f t="shared" si="16"/>
        <v/>
      </c>
      <c r="U87" s="16" t="str">
        <f t="shared" si="17"/>
        <v/>
      </c>
      <c r="V87" s="16"/>
      <c r="W87" s="16"/>
      <c r="X87" s="16"/>
      <c r="Y87" s="16"/>
      <c r="Z87" s="16" t="str">
        <f t="shared" si="18"/>
        <v/>
      </c>
      <c r="AA87" s="16" t="str">
        <f t="shared" si="19"/>
        <v/>
      </c>
      <c r="AB87" s="11" t="str">
        <f t="shared" si="20"/>
        <v/>
      </c>
      <c r="AC87" s="10"/>
      <c r="AD87" s="10"/>
      <c r="AE87" s="10"/>
      <c r="AF87" s="10"/>
      <c r="AG87" s="10"/>
    </row>
    <row r="88" spans="2:33">
      <c r="B88" s="10"/>
      <c r="M88" s="16"/>
      <c r="N88" s="16" t="str">
        <f t="shared" si="14"/>
        <v/>
      </c>
      <c r="O88" s="16" t="str">
        <f t="shared" si="15"/>
        <v/>
      </c>
      <c r="P88" s="9"/>
      <c r="Q88" s="9"/>
      <c r="R88" s="9"/>
      <c r="S88" s="9"/>
      <c r="T88" s="16" t="str">
        <f t="shared" si="16"/>
        <v/>
      </c>
      <c r="U88" s="16" t="str">
        <f t="shared" si="17"/>
        <v/>
      </c>
      <c r="V88" s="16"/>
      <c r="W88" s="16"/>
      <c r="X88" s="16"/>
      <c r="Y88" s="16"/>
      <c r="Z88" s="16" t="str">
        <f t="shared" si="18"/>
        <v/>
      </c>
      <c r="AA88" s="16" t="str">
        <f t="shared" si="19"/>
        <v/>
      </c>
      <c r="AB88" s="11" t="str">
        <f t="shared" si="20"/>
        <v/>
      </c>
      <c r="AC88" s="10"/>
      <c r="AD88" s="10"/>
      <c r="AE88" s="10"/>
      <c r="AF88" s="10"/>
      <c r="AG88" s="10"/>
    </row>
    <row r="89" spans="2:33">
      <c r="B89" s="10"/>
      <c r="M89" s="16"/>
      <c r="N89" s="16" t="str">
        <f t="shared" si="14"/>
        <v/>
      </c>
      <c r="O89" s="16" t="str">
        <f t="shared" si="15"/>
        <v/>
      </c>
      <c r="P89" s="9"/>
      <c r="Q89" s="9"/>
      <c r="R89" s="9"/>
      <c r="S89" s="9"/>
      <c r="T89" s="16" t="str">
        <f t="shared" si="16"/>
        <v/>
      </c>
      <c r="U89" s="16" t="str">
        <f t="shared" si="17"/>
        <v/>
      </c>
      <c r="V89" s="16"/>
      <c r="W89" s="16"/>
      <c r="X89" s="16"/>
      <c r="Y89" s="16"/>
      <c r="Z89" s="16" t="str">
        <f t="shared" si="18"/>
        <v/>
      </c>
      <c r="AA89" s="16" t="str">
        <f t="shared" si="19"/>
        <v/>
      </c>
      <c r="AB89" s="11" t="str">
        <f t="shared" si="20"/>
        <v/>
      </c>
      <c r="AC89" s="10"/>
      <c r="AD89" s="10"/>
      <c r="AE89" s="10"/>
      <c r="AF89" s="10"/>
      <c r="AG89" s="10"/>
    </row>
    <row r="90" spans="2:33">
      <c r="B90" s="10"/>
      <c r="M90" s="16"/>
      <c r="N90" s="16" t="str">
        <f t="shared" si="14"/>
        <v/>
      </c>
      <c r="O90" s="16" t="str">
        <f t="shared" si="15"/>
        <v/>
      </c>
      <c r="P90" s="9"/>
      <c r="Q90" s="9"/>
      <c r="R90" s="9"/>
      <c r="S90" s="9"/>
      <c r="T90" s="16" t="str">
        <f t="shared" si="16"/>
        <v/>
      </c>
      <c r="U90" s="16" t="str">
        <f t="shared" si="17"/>
        <v/>
      </c>
      <c r="V90" s="16"/>
      <c r="W90" s="16"/>
      <c r="X90" s="16"/>
      <c r="Y90" s="16"/>
      <c r="Z90" s="16" t="str">
        <f t="shared" si="18"/>
        <v/>
      </c>
      <c r="AA90" s="16" t="str">
        <f t="shared" si="19"/>
        <v/>
      </c>
      <c r="AB90" s="11" t="str">
        <f t="shared" si="20"/>
        <v/>
      </c>
      <c r="AC90" s="10"/>
      <c r="AD90" s="10"/>
      <c r="AE90" s="10"/>
      <c r="AF90" s="10"/>
      <c r="AG90" s="10"/>
    </row>
    <row r="91" spans="2:33">
      <c r="B91" s="10"/>
      <c r="M91" s="16"/>
      <c r="N91" s="16" t="str">
        <f t="shared" si="14"/>
        <v/>
      </c>
      <c r="O91" s="16" t="str">
        <f t="shared" si="15"/>
        <v/>
      </c>
      <c r="P91" s="9"/>
      <c r="Q91" s="9"/>
      <c r="R91" s="9"/>
      <c r="S91" s="9"/>
      <c r="T91" s="16" t="str">
        <f t="shared" si="16"/>
        <v/>
      </c>
      <c r="U91" s="16" t="str">
        <f t="shared" si="17"/>
        <v/>
      </c>
      <c r="V91" s="16"/>
      <c r="W91" s="16"/>
      <c r="X91" s="16"/>
      <c r="Y91" s="16"/>
      <c r="Z91" s="16" t="str">
        <f t="shared" si="18"/>
        <v/>
      </c>
      <c r="AA91" s="16" t="str">
        <f t="shared" si="19"/>
        <v/>
      </c>
      <c r="AB91" s="11" t="str">
        <f t="shared" si="20"/>
        <v/>
      </c>
      <c r="AC91" s="10"/>
      <c r="AD91" s="10"/>
      <c r="AE91" s="10"/>
      <c r="AF91" s="10"/>
      <c r="AG91" s="10"/>
    </row>
    <row r="92" spans="2:33">
      <c r="B92" s="10"/>
      <c r="M92" s="16"/>
      <c r="N92" s="16" t="str">
        <f t="shared" si="14"/>
        <v/>
      </c>
      <c r="O92" s="16" t="str">
        <f t="shared" si="15"/>
        <v/>
      </c>
      <c r="P92" s="9"/>
      <c r="Q92" s="9"/>
      <c r="R92" s="9"/>
      <c r="S92" s="9"/>
      <c r="T92" s="16" t="str">
        <f t="shared" si="16"/>
        <v/>
      </c>
      <c r="U92" s="16" t="str">
        <f t="shared" si="17"/>
        <v/>
      </c>
      <c r="V92" s="16"/>
      <c r="W92" s="16"/>
      <c r="X92" s="16"/>
      <c r="Y92" s="16"/>
      <c r="Z92" s="16" t="str">
        <f t="shared" si="18"/>
        <v/>
      </c>
      <c r="AA92" s="16" t="str">
        <f t="shared" si="19"/>
        <v/>
      </c>
      <c r="AB92" s="11" t="str">
        <f t="shared" si="20"/>
        <v/>
      </c>
      <c r="AC92" s="10"/>
      <c r="AD92" s="10"/>
      <c r="AE92" s="10"/>
      <c r="AF92" s="10"/>
      <c r="AG92" s="10"/>
    </row>
    <row r="93" spans="2:33">
      <c r="B93" s="10"/>
      <c r="M93" s="16"/>
      <c r="N93" s="16" t="str">
        <f t="shared" si="14"/>
        <v/>
      </c>
      <c r="O93" s="16" t="str">
        <f t="shared" si="15"/>
        <v/>
      </c>
      <c r="P93" s="9"/>
      <c r="Q93" s="9"/>
      <c r="R93" s="9"/>
      <c r="S93" s="9"/>
      <c r="T93" s="16" t="str">
        <f t="shared" si="16"/>
        <v/>
      </c>
      <c r="U93" s="16" t="str">
        <f t="shared" si="17"/>
        <v/>
      </c>
      <c r="V93" s="16"/>
      <c r="W93" s="16"/>
      <c r="X93" s="16"/>
      <c r="Y93" s="16"/>
      <c r="Z93" s="16" t="str">
        <f t="shared" si="18"/>
        <v/>
      </c>
      <c r="AA93" s="16" t="str">
        <f t="shared" si="19"/>
        <v/>
      </c>
      <c r="AB93" s="11" t="str">
        <f t="shared" si="20"/>
        <v/>
      </c>
      <c r="AC93" s="10"/>
      <c r="AD93" s="10"/>
      <c r="AE93" s="10"/>
      <c r="AF93" s="10"/>
      <c r="AG93" s="10"/>
    </row>
    <row r="94" spans="2:33">
      <c r="B94" s="10"/>
      <c r="M94" s="16"/>
      <c r="N94" s="16" t="str">
        <f t="shared" si="14"/>
        <v/>
      </c>
      <c r="O94" s="16" t="str">
        <f t="shared" si="15"/>
        <v/>
      </c>
      <c r="P94" s="9"/>
      <c r="Q94" s="9"/>
      <c r="R94" s="9"/>
      <c r="S94" s="9"/>
      <c r="T94" s="16" t="str">
        <f t="shared" si="16"/>
        <v/>
      </c>
      <c r="U94" s="16" t="str">
        <f t="shared" si="17"/>
        <v/>
      </c>
      <c r="V94" s="16"/>
      <c r="W94" s="16"/>
      <c r="X94" s="16"/>
      <c r="Y94" s="16"/>
      <c r="Z94" s="16" t="str">
        <f t="shared" si="18"/>
        <v/>
      </c>
      <c r="AA94" s="16" t="str">
        <f t="shared" si="19"/>
        <v/>
      </c>
      <c r="AB94" s="11" t="str">
        <f t="shared" si="20"/>
        <v/>
      </c>
      <c r="AC94" s="10"/>
      <c r="AD94" s="10"/>
      <c r="AE94" s="10"/>
      <c r="AF94" s="10"/>
      <c r="AG94" s="10"/>
    </row>
    <row r="95" spans="2:33">
      <c r="B95" s="10"/>
      <c r="M95" s="16"/>
      <c r="N95" s="16" t="str">
        <f t="shared" si="14"/>
        <v/>
      </c>
      <c r="O95" s="16" t="str">
        <f t="shared" si="15"/>
        <v/>
      </c>
      <c r="P95" s="9"/>
      <c r="Q95" s="9"/>
      <c r="R95" s="9"/>
      <c r="S95" s="9"/>
      <c r="T95" s="16" t="str">
        <f t="shared" si="16"/>
        <v/>
      </c>
      <c r="U95" s="16" t="str">
        <f t="shared" si="17"/>
        <v/>
      </c>
      <c r="V95" s="16"/>
      <c r="W95" s="16"/>
      <c r="X95" s="16"/>
      <c r="Y95" s="16"/>
      <c r="Z95" s="16" t="str">
        <f t="shared" si="18"/>
        <v/>
      </c>
      <c r="AA95" s="16" t="str">
        <f t="shared" si="19"/>
        <v/>
      </c>
      <c r="AB95" s="11" t="str">
        <f t="shared" si="20"/>
        <v/>
      </c>
      <c r="AC95" s="10"/>
      <c r="AD95" s="10"/>
      <c r="AE95" s="10"/>
      <c r="AF95" s="10"/>
      <c r="AG95" s="10"/>
    </row>
    <row r="96" spans="2:33">
      <c r="B96" s="10"/>
      <c r="M96" s="16"/>
      <c r="N96" s="16" t="str">
        <f t="shared" si="14"/>
        <v/>
      </c>
      <c r="O96" s="16" t="str">
        <f t="shared" si="15"/>
        <v/>
      </c>
      <c r="P96" s="9"/>
      <c r="Q96" s="9"/>
      <c r="R96" s="9"/>
      <c r="S96" s="9"/>
      <c r="T96" s="16" t="str">
        <f t="shared" si="16"/>
        <v/>
      </c>
      <c r="U96" s="16" t="str">
        <f t="shared" si="17"/>
        <v/>
      </c>
      <c r="V96" s="16"/>
      <c r="W96" s="16"/>
      <c r="X96" s="16"/>
      <c r="Y96" s="16"/>
      <c r="Z96" s="16" t="str">
        <f t="shared" si="18"/>
        <v/>
      </c>
      <c r="AA96" s="16" t="str">
        <f t="shared" si="19"/>
        <v/>
      </c>
      <c r="AB96" s="11" t="str">
        <f t="shared" si="20"/>
        <v/>
      </c>
      <c r="AC96" s="10"/>
      <c r="AD96" s="10"/>
      <c r="AE96" s="10"/>
      <c r="AF96" s="10"/>
      <c r="AG96" s="10"/>
    </row>
    <row r="97" spans="2:33">
      <c r="B97" s="10"/>
      <c r="M97" s="16"/>
      <c r="N97" s="16" t="str">
        <f t="shared" si="14"/>
        <v/>
      </c>
      <c r="O97" s="16" t="str">
        <f t="shared" si="15"/>
        <v/>
      </c>
      <c r="P97" s="9"/>
      <c r="Q97" s="9"/>
      <c r="R97" s="9"/>
      <c r="S97" s="9"/>
      <c r="T97" s="16" t="str">
        <f t="shared" si="16"/>
        <v/>
      </c>
      <c r="U97" s="16" t="str">
        <f t="shared" si="17"/>
        <v/>
      </c>
      <c r="V97" s="16"/>
      <c r="W97" s="16"/>
      <c r="X97" s="16"/>
      <c r="Y97" s="16"/>
      <c r="Z97" s="16" t="str">
        <f t="shared" si="18"/>
        <v/>
      </c>
      <c r="AA97" s="16" t="str">
        <f t="shared" si="19"/>
        <v/>
      </c>
      <c r="AB97" s="11" t="str">
        <f t="shared" si="20"/>
        <v/>
      </c>
      <c r="AC97" s="10"/>
      <c r="AD97" s="10"/>
      <c r="AE97" s="10"/>
      <c r="AF97" s="10"/>
      <c r="AG97" s="10"/>
    </row>
    <row r="98" spans="2:33">
      <c r="B98" s="10"/>
      <c r="M98" s="16"/>
      <c r="N98" s="16" t="str">
        <f t="shared" ref="N98:N129" si="21">IF(M98="","",M98*0.077)</f>
        <v/>
      </c>
      <c r="O98" s="16" t="str">
        <f t="shared" ref="O98:O129" si="22">IF(M98="","",M98-N98)</f>
        <v/>
      </c>
      <c r="P98" s="9"/>
      <c r="Q98" s="9"/>
      <c r="R98" s="9"/>
      <c r="S98" s="9"/>
      <c r="T98" s="16" t="str">
        <f t="shared" ref="T98:T129" si="23">IF(OR(Q98="",S98=""),"",IF(OR(R98="USD",R98="EUR",R98="GBP"),Q98*S98,Q98))</f>
        <v/>
      </c>
      <c r="U98" s="16" t="str">
        <f t="shared" ref="U98:U129" si="24">IF(T98="","",IF(ISNUMBER(SEARCH("MyUS",P98)),T98*0.08,0))</f>
        <v/>
      </c>
      <c r="V98" s="16"/>
      <c r="W98" s="16"/>
      <c r="X98" s="16"/>
      <c r="Y98" s="16"/>
      <c r="Z98" s="16" t="str">
        <f t="shared" ref="Z98:Z129" si="25">IF(T98="","",SUM(T98:Y98))</f>
        <v/>
      </c>
      <c r="AA98" s="16" t="str">
        <f t="shared" ref="AA98:AA129" si="26">IF(M98="","",O98-Z98)</f>
        <v/>
      </c>
      <c r="AB98" s="11" t="str">
        <f t="shared" ref="AB98:AB129" si="27">IF(M98="","",AA98/M98)</f>
        <v/>
      </c>
      <c r="AC98" s="10"/>
      <c r="AD98" s="10"/>
      <c r="AE98" s="10"/>
      <c r="AF98" s="10"/>
      <c r="AG98" s="10"/>
    </row>
    <row r="99" spans="2:33">
      <c r="B99" s="10"/>
      <c r="M99" s="16"/>
      <c r="N99" s="16" t="str">
        <f t="shared" si="21"/>
        <v/>
      </c>
      <c r="O99" s="16" t="str">
        <f t="shared" si="22"/>
        <v/>
      </c>
      <c r="P99" s="9"/>
      <c r="Q99" s="9"/>
      <c r="R99" s="9"/>
      <c r="S99" s="9"/>
      <c r="T99" s="16" t="str">
        <f t="shared" si="23"/>
        <v/>
      </c>
      <c r="U99" s="16" t="str">
        <f t="shared" si="24"/>
        <v/>
      </c>
      <c r="V99" s="16"/>
      <c r="W99" s="16"/>
      <c r="X99" s="16"/>
      <c r="Y99" s="16"/>
      <c r="Z99" s="16" t="str">
        <f t="shared" si="25"/>
        <v/>
      </c>
      <c r="AA99" s="16" t="str">
        <f t="shared" si="26"/>
        <v/>
      </c>
      <c r="AB99" s="11" t="str">
        <f t="shared" si="27"/>
        <v/>
      </c>
      <c r="AC99" s="10"/>
      <c r="AD99" s="10"/>
      <c r="AE99" s="10"/>
      <c r="AF99" s="10"/>
      <c r="AG99" s="10"/>
    </row>
    <row r="100" spans="2:33">
      <c r="B100" s="10"/>
      <c r="M100" s="16"/>
      <c r="N100" s="16" t="str">
        <f t="shared" si="21"/>
        <v/>
      </c>
      <c r="O100" s="16" t="str">
        <f t="shared" si="22"/>
        <v/>
      </c>
      <c r="P100" s="9"/>
      <c r="Q100" s="9"/>
      <c r="R100" s="9"/>
      <c r="S100" s="9"/>
      <c r="T100" s="16" t="str">
        <f t="shared" si="23"/>
        <v/>
      </c>
      <c r="U100" s="16" t="str">
        <f t="shared" si="24"/>
        <v/>
      </c>
      <c r="V100" s="16"/>
      <c r="W100" s="16"/>
      <c r="X100" s="16"/>
      <c r="Y100" s="16"/>
      <c r="Z100" s="16" t="str">
        <f t="shared" si="25"/>
        <v/>
      </c>
      <c r="AA100" s="16" t="str">
        <f t="shared" si="26"/>
        <v/>
      </c>
      <c r="AB100" s="11" t="str">
        <f t="shared" si="27"/>
        <v/>
      </c>
      <c r="AC100" s="10"/>
      <c r="AD100" s="10"/>
      <c r="AE100" s="10"/>
      <c r="AF100" s="10"/>
      <c r="AG100" s="10"/>
    </row>
    <row r="101" spans="2:33">
      <c r="B101" s="10"/>
      <c r="M101" s="16"/>
      <c r="N101" s="16" t="str">
        <f t="shared" si="21"/>
        <v/>
      </c>
      <c r="O101" s="16" t="str">
        <f t="shared" si="22"/>
        <v/>
      </c>
      <c r="P101" s="9"/>
      <c r="Q101" s="9"/>
      <c r="R101" s="9"/>
      <c r="S101" s="9"/>
      <c r="T101" s="16" t="str">
        <f t="shared" si="23"/>
        <v/>
      </c>
      <c r="U101" s="16" t="str">
        <f t="shared" si="24"/>
        <v/>
      </c>
      <c r="V101" s="16"/>
      <c r="W101" s="16"/>
      <c r="X101" s="16"/>
      <c r="Y101" s="16"/>
      <c r="Z101" s="16" t="str">
        <f t="shared" si="25"/>
        <v/>
      </c>
      <c r="AA101" s="16" t="str">
        <f t="shared" si="26"/>
        <v/>
      </c>
      <c r="AB101" s="11" t="str">
        <f t="shared" si="27"/>
        <v/>
      </c>
      <c r="AC101" s="10"/>
      <c r="AD101" s="10"/>
      <c r="AE101" s="10"/>
      <c r="AF101" s="10"/>
      <c r="AG101" s="10"/>
    </row>
    <row r="102" spans="2:33">
      <c r="B102" s="10"/>
      <c r="M102" s="16"/>
      <c r="N102" s="16" t="str">
        <f t="shared" si="21"/>
        <v/>
      </c>
      <c r="O102" s="16" t="str">
        <f t="shared" si="22"/>
        <v/>
      </c>
      <c r="P102" s="9"/>
      <c r="Q102" s="9"/>
      <c r="R102" s="9"/>
      <c r="S102" s="9"/>
      <c r="T102" s="16" t="str">
        <f t="shared" si="23"/>
        <v/>
      </c>
      <c r="U102" s="16" t="str">
        <f t="shared" si="24"/>
        <v/>
      </c>
      <c r="V102" s="16"/>
      <c r="W102" s="16"/>
      <c r="X102" s="16"/>
      <c r="Y102" s="16"/>
      <c r="Z102" s="16" t="str">
        <f t="shared" si="25"/>
        <v/>
      </c>
      <c r="AA102" s="16" t="str">
        <f t="shared" si="26"/>
        <v/>
      </c>
      <c r="AB102" s="11" t="str">
        <f t="shared" si="27"/>
        <v/>
      </c>
      <c r="AC102" s="10"/>
      <c r="AD102" s="10"/>
      <c r="AE102" s="10"/>
      <c r="AF102" s="10"/>
      <c r="AG102" s="10"/>
    </row>
    <row r="103" spans="2:33">
      <c r="B103" s="10"/>
      <c r="M103" s="16"/>
      <c r="N103" s="16" t="str">
        <f t="shared" si="21"/>
        <v/>
      </c>
      <c r="O103" s="16" t="str">
        <f t="shared" si="22"/>
        <v/>
      </c>
      <c r="P103" s="9"/>
      <c r="Q103" s="9"/>
      <c r="R103" s="9"/>
      <c r="S103" s="9"/>
      <c r="T103" s="16" t="str">
        <f t="shared" si="23"/>
        <v/>
      </c>
      <c r="U103" s="16" t="str">
        <f t="shared" si="24"/>
        <v/>
      </c>
      <c r="V103" s="16"/>
      <c r="W103" s="16"/>
      <c r="X103" s="16"/>
      <c r="Y103" s="16"/>
      <c r="Z103" s="16" t="str">
        <f t="shared" si="25"/>
        <v/>
      </c>
      <c r="AA103" s="16" t="str">
        <f t="shared" si="26"/>
        <v/>
      </c>
      <c r="AB103" s="11" t="str">
        <f t="shared" si="27"/>
        <v/>
      </c>
      <c r="AC103" s="10"/>
      <c r="AD103" s="10"/>
      <c r="AE103" s="10"/>
      <c r="AF103" s="10"/>
      <c r="AG103" s="10"/>
    </row>
    <row r="104" spans="2:33">
      <c r="B104" s="10"/>
      <c r="M104" s="16"/>
      <c r="N104" s="16" t="str">
        <f t="shared" si="21"/>
        <v/>
      </c>
      <c r="O104" s="16" t="str">
        <f t="shared" si="22"/>
        <v/>
      </c>
      <c r="P104" s="9"/>
      <c r="Q104" s="9"/>
      <c r="R104" s="9"/>
      <c r="S104" s="9"/>
      <c r="T104" s="16" t="str">
        <f t="shared" si="23"/>
        <v/>
      </c>
      <c r="U104" s="16" t="str">
        <f t="shared" si="24"/>
        <v/>
      </c>
      <c r="V104" s="16"/>
      <c r="W104" s="16"/>
      <c r="X104" s="16"/>
      <c r="Y104" s="16"/>
      <c r="Z104" s="16" t="str">
        <f t="shared" si="25"/>
        <v/>
      </c>
      <c r="AA104" s="16" t="str">
        <f t="shared" si="26"/>
        <v/>
      </c>
      <c r="AB104" s="11" t="str">
        <f t="shared" si="27"/>
        <v/>
      </c>
      <c r="AC104" s="10"/>
      <c r="AD104" s="10"/>
      <c r="AE104" s="10"/>
      <c r="AF104" s="10"/>
      <c r="AG104" s="10"/>
    </row>
    <row r="105" spans="2:33">
      <c r="B105" s="10"/>
      <c r="M105" s="16"/>
      <c r="N105" s="16" t="str">
        <f t="shared" si="21"/>
        <v/>
      </c>
      <c r="O105" s="16" t="str">
        <f t="shared" si="22"/>
        <v/>
      </c>
      <c r="P105" s="9"/>
      <c r="Q105" s="9"/>
      <c r="R105" s="9"/>
      <c r="S105" s="9"/>
      <c r="T105" s="16" t="str">
        <f t="shared" si="23"/>
        <v/>
      </c>
      <c r="U105" s="16" t="str">
        <f t="shared" si="24"/>
        <v/>
      </c>
      <c r="V105" s="16"/>
      <c r="W105" s="16"/>
      <c r="X105" s="16"/>
      <c r="Y105" s="16"/>
      <c r="Z105" s="16" t="str">
        <f t="shared" si="25"/>
        <v/>
      </c>
      <c r="AA105" s="16" t="str">
        <f t="shared" si="26"/>
        <v/>
      </c>
      <c r="AB105" s="11" t="str">
        <f t="shared" si="27"/>
        <v/>
      </c>
      <c r="AC105" s="10"/>
      <c r="AD105" s="10"/>
      <c r="AE105" s="10"/>
      <c r="AF105" s="10"/>
      <c r="AG105" s="10"/>
    </row>
    <row r="106" spans="2:33">
      <c r="B106" s="10"/>
      <c r="M106" s="16"/>
      <c r="N106" s="16" t="str">
        <f t="shared" si="21"/>
        <v/>
      </c>
      <c r="O106" s="16" t="str">
        <f t="shared" si="22"/>
        <v/>
      </c>
      <c r="P106" s="9"/>
      <c r="Q106" s="9"/>
      <c r="R106" s="9"/>
      <c r="S106" s="9"/>
      <c r="T106" s="16" t="str">
        <f t="shared" si="23"/>
        <v/>
      </c>
      <c r="U106" s="16" t="str">
        <f t="shared" si="24"/>
        <v/>
      </c>
      <c r="V106" s="16"/>
      <c r="W106" s="16"/>
      <c r="X106" s="16"/>
      <c r="Y106" s="16"/>
      <c r="Z106" s="16" t="str">
        <f t="shared" si="25"/>
        <v/>
      </c>
      <c r="AA106" s="16" t="str">
        <f t="shared" si="26"/>
        <v/>
      </c>
      <c r="AB106" s="11" t="str">
        <f t="shared" si="27"/>
        <v/>
      </c>
      <c r="AC106" s="10"/>
      <c r="AD106" s="10"/>
      <c r="AE106" s="10"/>
      <c r="AF106" s="10"/>
      <c r="AG106" s="10"/>
    </row>
    <row r="107" spans="2:33">
      <c r="B107" s="10"/>
      <c r="M107" s="16"/>
      <c r="N107" s="16" t="str">
        <f t="shared" si="21"/>
        <v/>
      </c>
      <c r="O107" s="16" t="str">
        <f t="shared" si="22"/>
        <v/>
      </c>
      <c r="P107" s="9"/>
      <c r="Q107" s="9"/>
      <c r="R107" s="9"/>
      <c r="S107" s="9"/>
      <c r="T107" s="16" t="str">
        <f t="shared" si="23"/>
        <v/>
      </c>
      <c r="U107" s="16" t="str">
        <f t="shared" si="24"/>
        <v/>
      </c>
      <c r="V107" s="16"/>
      <c r="W107" s="16"/>
      <c r="X107" s="16"/>
      <c r="Y107" s="16"/>
      <c r="Z107" s="16" t="str">
        <f t="shared" si="25"/>
        <v/>
      </c>
      <c r="AA107" s="16" t="str">
        <f t="shared" si="26"/>
        <v/>
      </c>
      <c r="AB107" s="11" t="str">
        <f t="shared" si="27"/>
        <v/>
      </c>
      <c r="AC107" s="10"/>
      <c r="AD107" s="10"/>
      <c r="AE107" s="10"/>
      <c r="AF107" s="10"/>
      <c r="AG107" s="10"/>
    </row>
    <row r="108" spans="2:33">
      <c r="B108" s="10"/>
      <c r="M108" s="16"/>
      <c r="N108" s="16" t="str">
        <f t="shared" si="21"/>
        <v/>
      </c>
      <c r="O108" s="16" t="str">
        <f t="shared" si="22"/>
        <v/>
      </c>
      <c r="P108" s="9"/>
      <c r="Q108" s="9"/>
      <c r="R108" s="9"/>
      <c r="S108" s="9"/>
      <c r="T108" s="16" t="str">
        <f t="shared" si="23"/>
        <v/>
      </c>
      <c r="U108" s="16" t="str">
        <f t="shared" si="24"/>
        <v/>
      </c>
      <c r="V108" s="16"/>
      <c r="W108" s="16"/>
      <c r="X108" s="16"/>
      <c r="Y108" s="16"/>
      <c r="Z108" s="16" t="str">
        <f t="shared" si="25"/>
        <v/>
      </c>
      <c r="AA108" s="16" t="str">
        <f t="shared" si="26"/>
        <v/>
      </c>
      <c r="AB108" s="11" t="str">
        <f t="shared" si="27"/>
        <v/>
      </c>
      <c r="AC108" s="10"/>
      <c r="AD108" s="10"/>
      <c r="AE108" s="10"/>
      <c r="AF108" s="10"/>
      <c r="AG108" s="10"/>
    </row>
    <row r="109" spans="2:33">
      <c r="B109" s="10"/>
      <c r="M109" s="16"/>
      <c r="N109" s="16" t="str">
        <f t="shared" si="21"/>
        <v/>
      </c>
      <c r="O109" s="16" t="str">
        <f t="shared" si="22"/>
        <v/>
      </c>
      <c r="P109" s="9"/>
      <c r="Q109" s="9"/>
      <c r="R109" s="9"/>
      <c r="S109" s="9"/>
      <c r="T109" s="16" t="str">
        <f t="shared" si="23"/>
        <v/>
      </c>
      <c r="U109" s="16" t="str">
        <f t="shared" si="24"/>
        <v/>
      </c>
      <c r="V109" s="16"/>
      <c r="W109" s="16"/>
      <c r="X109" s="16"/>
      <c r="Y109" s="16"/>
      <c r="Z109" s="16" t="str">
        <f t="shared" si="25"/>
        <v/>
      </c>
      <c r="AA109" s="16" t="str">
        <f t="shared" si="26"/>
        <v/>
      </c>
      <c r="AB109" s="11" t="str">
        <f t="shared" si="27"/>
        <v/>
      </c>
      <c r="AC109" s="10"/>
      <c r="AD109" s="10"/>
      <c r="AE109" s="10"/>
      <c r="AF109" s="10"/>
      <c r="AG109" s="10"/>
    </row>
    <row r="110" spans="2:33">
      <c r="B110" s="10"/>
      <c r="M110" s="16"/>
      <c r="N110" s="16" t="str">
        <f t="shared" si="21"/>
        <v/>
      </c>
      <c r="O110" s="16" t="str">
        <f t="shared" si="22"/>
        <v/>
      </c>
      <c r="P110" s="9"/>
      <c r="Q110" s="9"/>
      <c r="R110" s="9"/>
      <c r="S110" s="9"/>
      <c r="T110" s="16" t="str">
        <f t="shared" si="23"/>
        <v/>
      </c>
      <c r="U110" s="16" t="str">
        <f t="shared" si="24"/>
        <v/>
      </c>
      <c r="V110" s="16"/>
      <c r="W110" s="16"/>
      <c r="X110" s="16"/>
      <c r="Y110" s="16"/>
      <c r="Z110" s="16" t="str">
        <f t="shared" si="25"/>
        <v/>
      </c>
      <c r="AA110" s="16" t="str">
        <f t="shared" si="26"/>
        <v/>
      </c>
      <c r="AB110" s="11" t="str">
        <f t="shared" si="27"/>
        <v/>
      </c>
      <c r="AC110" s="10"/>
      <c r="AD110" s="10"/>
      <c r="AE110" s="10"/>
      <c r="AF110" s="10"/>
      <c r="AG110" s="10"/>
    </row>
    <row r="111" spans="2:33">
      <c r="B111" s="10"/>
      <c r="M111" s="16"/>
      <c r="N111" s="16" t="str">
        <f t="shared" si="21"/>
        <v/>
      </c>
      <c r="O111" s="16" t="str">
        <f t="shared" si="22"/>
        <v/>
      </c>
      <c r="P111" s="9"/>
      <c r="Q111" s="9"/>
      <c r="R111" s="9"/>
      <c r="S111" s="9"/>
      <c r="T111" s="16" t="str">
        <f t="shared" si="23"/>
        <v/>
      </c>
      <c r="U111" s="16" t="str">
        <f t="shared" si="24"/>
        <v/>
      </c>
      <c r="V111" s="16"/>
      <c r="W111" s="16"/>
      <c r="X111" s="16"/>
      <c r="Y111" s="16"/>
      <c r="Z111" s="16" t="str">
        <f t="shared" si="25"/>
        <v/>
      </c>
      <c r="AA111" s="16" t="str">
        <f t="shared" si="26"/>
        <v/>
      </c>
      <c r="AB111" s="11" t="str">
        <f t="shared" si="27"/>
        <v/>
      </c>
      <c r="AC111" s="10"/>
      <c r="AD111" s="10"/>
      <c r="AE111" s="10"/>
      <c r="AF111" s="10"/>
      <c r="AG111" s="10"/>
    </row>
    <row r="112" spans="2:33">
      <c r="B112" s="10"/>
      <c r="M112" s="16"/>
      <c r="N112" s="16" t="str">
        <f t="shared" si="21"/>
        <v/>
      </c>
      <c r="O112" s="16" t="str">
        <f t="shared" si="22"/>
        <v/>
      </c>
      <c r="P112" s="9"/>
      <c r="Q112" s="9"/>
      <c r="R112" s="9"/>
      <c r="S112" s="9"/>
      <c r="T112" s="16" t="str">
        <f t="shared" si="23"/>
        <v/>
      </c>
      <c r="U112" s="16" t="str">
        <f t="shared" si="24"/>
        <v/>
      </c>
      <c r="V112" s="16"/>
      <c r="W112" s="16"/>
      <c r="X112" s="16"/>
      <c r="Y112" s="16"/>
      <c r="Z112" s="16" t="str">
        <f t="shared" si="25"/>
        <v/>
      </c>
      <c r="AA112" s="16" t="str">
        <f t="shared" si="26"/>
        <v/>
      </c>
      <c r="AB112" s="11" t="str">
        <f t="shared" si="27"/>
        <v/>
      </c>
      <c r="AC112" s="10"/>
      <c r="AD112" s="10"/>
      <c r="AE112" s="10"/>
      <c r="AF112" s="10"/>
      <c r="AG112" s="10"/>
    </row>
    <row r="113" spans="2:33">
      <c r="B113" s="10"/>
      <c r="M113" s="16"/>
      <c r="N113" s="16" t="str">
        <f t="shared" si="21"/>
        <v/>
      </c>
      <c r="O113" s="16" t="str">
        <f t="shared" si="22"/>
        <v/>
      </c>
      <c r="P113" s="9"/>
      <c r="Q113" s="9"/>
      <c r="R113" s="9"/>
      <c r="S113" s="9"/>
      <c r="T113" s="16" t="str">
        <f t="shared" si="23"/>
        <v/>
      </c>
      <c r="U113" s="16" t="str">
        <f t="shared" si="24"/>
        <v/>
      </c>
      <c r="V113" s="16"/>
      <c r="W113" s="16"/>
      <c r="X113" s="16"/>
      <c r="Y113" s="16"/>
      <c r="Z113" s="16" t="str">
        <f t="shared" si="25"/>
        <v/>
      </c>
      <c r="AA113" s="16" t="str">
        <f t="shared" si="26"/>
        <v/>
      </c>
      <c r="AB113" s="11" t="str">
        <f t="shared" si="27"/>
        <v/>
      </c>
      <c r="AC113" s="10"/>
      <c r="AD113" s="10"/>
      <c r="AE113" s="10"/>
      <c r="AF113" s="10"/>
      <c r="AG113" s="10"/>
    </row>
    <row r="114" spans="2:33">
      <c r="B114" s="10"/>
      <c r="M114" s="16"/>
      <c r="N114" s="16" t="str">
        <f t="shared" si="21"/>
        <v/>
      </c>
      <c r="O114" s="16" t="str">
        <f t="shared" si="22"/>
        <v/>
      </c>
      <c r="P114" s="9"/>
      <c r="Q114" s="9"/>
      <c r="R114" s="9"/>
      <c r="S114" s="9"/>
      <c r="T114" s="16" t="str">
        <f t="shared" si="23"/>
        <v/>
      </c>
      <c r="U114" s="16" t="str">
        <f t="shared" si="24"/>
        <v/>
      </c>
      <c r="V114" s="16"/>
      <c r="W114" s="16"/>
      <c r="X114" s="16"/>
      <c r="Y114" s="16"/>
      <c r="Z114" s="16" t="str">
        <f t="shared" si="25"/>
        <v/>
      </c>
      <c r="AA114" s="16" t="str">
        <f t="shared" si="26"/>
        <v/>
      </c>
      <c r="AB114" s="11" t="str">
        <f t="shared" si="27"/>
        <v/>
      </c>
      <c r="AC114" s="10"/>
      <c r="AD114" s="10"/>
      <c r="AE114" s="10"/>
      <c r="AF114" s="10"/>
      <c r="AG114" s="10"/>
    </row>
    <row r="115" spans="2:33">
      <c r="B115" s="10"/>
      <c r="M115" s="16"/>
      <c r="N115" s="16" t="str">
        <f t="shared" si="21"/>
        <v/>
      </c>
      <c r="O115" s="16" t="str">
        <f t="shared" si="22"/>
        <v/>
      </c>
      <c r="P115" s="9"/>
      <c r="Q115" s="9"/>
      <c r="R115" s="9"/>
      <c r="S115" s="9"/>
      <c r="T115" s="16" t="str">
        <f t="shared" si="23"/>
        <v/>
      </c>
      <c r="U115" s="16" t="str">
        <f t="shared" si="24"/>
        <v/>
      </c>
      <c r="V115" s="16"/>
      <c r="W115" s="16"/>
      <c r="X115" s="16"/>
      <c r="Y115" s="16"/>
      <c r="Z115" s="16" t="str">
        <f t="shared" si="25"/>
        <v/>
      </c>
      <c r="AA115" s="16" t="str">
        <f t="shared" si="26"/>
        <v/>
      </c>
      <c r="AB115" s="11" t="str">
        <f t="shared" si="27"/>
        <v/>
      </c>
      <c r="AC115" s="10"/>
      <c r="AD115" s="10"/>
      <c r="AE115" s="10"/>
      <c r="AF115" s="10"/>
      <c r="AG115" s="10"/>
    </row>
    <row r="116" spans="2:33">
      <c r="B116" s="10"/>
      <c r="M116" s="16"/>
      <c r="N116" s="16" t="str">
        <f t="shared" si="21"/>
        <v/>
      </c>
      <c r="O116" s="16" t="str">
        <f t="shared" si="22"/>
        <v/>
      </c>
      <c r="P116" s="9"/>
      <c r="Q116" s="9"/>
      <c r="R116" s="9"/>
      <c r="S116" s="9"/>
      <c r="T116" s="16" t="str">
        <f t="shared" si="23"/>
        <v/>
      </c>
      <c r="U116" s="16" t="str">
        <f t="shared" si="24"/>
        <v/>
      </c>
      <c r="V116" s="16"/>
      <c r="W116" s="16"/>
      <c r="X116" s="16"/>
      <c r="Y116" s="16"/>
      <c r="Z116" s="16" t="str">
        <f t="shared" si="25"/>
        <v/>
      </c>
      <c r="AA116" s="16" t="str">
        <f t="shared" si="26"/>
        <v/>
      </c>
      <c r="AB116" s="11" t="str">
        <f t="shared" si="27"/>
        <v/>
      </c>
      <c r="AC116" s="10"/>
      <c r="AD116" s="10"/>
      <c r="AE116" s="10"/>
      <c r="AF116" s="10"/>
      <c r="AG116" s="10"/>
    </row>
    <row r="117" spans="2:33">
      <c r="B117" s="10"/>
      <c r="M117" s="16"/>
      <c r="N117" s="16" t="str">
        <f t="shared" si="21"/>
        <v/>
      </c>
      <c r="O117" s="16" t="str">
        <f t="shared" si="22"/>
        <v/>
      </c>
      <c r="P117" s="9"/>
      <c r="Q117" s="9"/>
      <c r="R117" s="9"/>
      <c r="S117" s="9"/>
      <c r="T117" s="16" t="str">
        <f t="shared" si="23"/>
        <v/>
      </c>
      <c r="U117" s="16" t="str">
        <f t="shared" si="24"/>
        <v/>
      </c>
      <c r="V117" s="16"/>
      <c r="W117" s="16"/>
      <c r="X117" s="16"/>
      <c r="Y117" s="16"/>
      <c r="Z117" s="16" t="str">
        <f t="shared" si="25"/>
        <v/>
      </c>
      <c r="AA117" s="16" t="str">
        <f t="shared" si="26"/>
        <v/>
      </c>
      <c r="AB117" s="11" t="str">
        <f t="shared" si="27"/>
        <v/>
      </c>
      <c r="AC117" s="10"/>
      <c r="AD117" s="10"/>
      <c r="AE117" s="10"/>
      <c r="AF117" s="10"/>
      <c r="AG117" s="10"/>
    </row>
    <row r="118" spans="2:33">
      <c r="B118" s="10"/>
      <c r="M118" s="16"/>
      <c r="N118" s="16" t="str">
        <f t="shared" si="21"/>
        <v/>
      </c>
      <c r="O118" s="16" t="str">
        <f t="shared" si="22"/>
        <v/>
      </c>
      <c r="P118" s="9"/>
      <c r="Q118" s="9"/>
      <c r="R118" s="9"/>
      <c r="S118" s="9"/>
      <c r="T118" s="16" t="str">
        <f t="shared" si="23"/>
        <v/>
      </c>
      <c r="U118" s="16" t="str">
        <f t="shared" si="24"/>
        <v/>
      </c>
      <c r="V118" s="16"/>
      <c r="W118" s="16"/>
      <c r="X118" s="16"/>
      <c r="Y118" s="16"/>
      <c r="Z118" s="16" t="str">
        <f t="shared" si="25"/>
        <v/>
      </c>
      <c r="AA118" s="16" t="str">
        <f t="shared" si="26"/>
        <v/>
      </c>
      <c r="AB118" s="11" t="str">
        <f t="shared" si="27"/>
        <v/>
      </c>
      <c r="AC118" s="10"/>
      <c r="AD118" s="10"/>
      <c r="AE118" s="10"/>
      <c r="AF118" s="10"/>
      <c r="AG118" s="10"/>
    </row>
    <row r="119" spans="2:33">
      <c r="B119" s="10"/>
      <c r="M119" s="16"/>
      <c r="N119" s="16" t="str">
        <f t="shared" si="21"/>
        <v/>
      </c>
      <c r="O119" s="16" t="str">
        <f t="shared" si="22"/>
        <v/>
      </c>
      <c r="P119" s="9"/>
      <c r="Q119" s="9"/>
      <c r="R119" s="9"/>
      <c r="S119" s="9"/>
      <c r="T119" s="16" t="str">
        <f t="shared" si="23"/>
        <v/>
      </c>
      <c r="U119" s="16" t="str">
        <f t="shared" si="24"/>
        <v/>
      </c>
      <c r="V119" s="16"/>
      <c r="W119" s="16"/>
      <c r="X119" s="16"/>
      <c r="Y119" s="16"/>
      <c r="Z119" s="16" t="str">
        <f t="shared" si="25"/>
        <v/>
      </c>
      <c r="AA119" s="16" t="str">
        <f t="shared" si="26"/>
        <v/>
      </c>
      <c r="AB119" s="11" t="str">
        <f t="shared" si="27"/>
        <v/>
      </c>
      <c r="AC119" s="10"/>
      <c r="AD119" s="10"/>
      <c r="AE119" s="10"/>
      <c r="AF119" s="10"/>
      <c r="AG119" s="10"/>
    </row>
    <row r="120" spans="2:33">
      <c r="B120" s="10"/>
      <c r="M120" s="16"/>
      <c r="N120" s="16" t="str">
        <f t="shared" si="21"/>
        <v/>
      </c>
      <c r="O120" s="16" t="str">
        <f t="shared" si="22"/>
        <v/>
      </c>
      <c r="P120" s="9"/>
      <c r="Q120" s="9"/>
      <c r="R120" s="9"/>
      <c r="S120" s="9"/>
      <c r="T120" s="16" t="str">
        <f t="shared" si="23"/>
        <v/>
      </c>
      <c r="U120" s="16" t="str">
        <f t="shared" si="24"/>
        <v/>
      </c>
      <c r="V120" s="16"/>
      <c r="W120" s="16"/>
      <c r="X120" s="16"/>
      <c r="Y120" s="16"/>
      <c r="Z120" s="16" t="str">
        <f t="shared" si="25"/>
        <v/>
      </c>
      <c r="AA120" s="16" t="str">
        <f t="shared" si="26"/>
        <v/>
      </c>
      <c r="AB120" s="11" t="str">
        <f t="shared" si="27"/>
        <v/>
      </c>
      <c r="AC120" s="10"/>
      <c r="AD120" s="10"/>
      <c r="AE120" s="10"/>
      <c r="AF120" s="10"/>
      <c r="AG120" s="10"/>
    </row>
    <row r="121" spans="2:33">
      <c r="B121" s="10"/>
      <c r="M121" s="16"/>
      <c r="N121" s="16" t="str">
        <f t="shared" si="21"/>
        <v/>
      </c>
      <c r="O121" s="16" t="str">
        <f t="shared" si="22"/>
        <v/>
      </c>
      <c r="P121" s="9"/>
      <c r="Q121" s="9"/>
      <c r="R121" s="9"/>
      <c r="S121" s="9"/>
      <c r="T121" s="16" t="str">
        <f t="shared" si="23"/>
        <v/>
      </c>
      <c r="U121" s="16" t="str">
        <f t="shared" si="24"/>
        <v/>
      </c>
      <c r="V121" s="16"/>
      <c r="W121" s="16"/>
      <c r="X121" s="16"/>
      <c r="Y121" s="16"/>
      <c r="Z121" s="16" t="str">
        <f t="shared" si="25"/>
        <v/>
      </c>
      <c r="AA121" s="16" t="str">
        <f t="shared" si="26"/>
        <v/>
      </c>
      <c r="AB121" s="11" t="str">
        <f t="shared" si="27"/>
        <v/>
      </c>
      <c r="AC121" s="10"/>
      <c r="AD121" s="10"/>
      <c r="AE121" s="10"/>
      <c r="AF121" s="10"/>
      <c r="AG121" s="10"/>
    </row>
    <row r="122" spans="2:33">
      <c r="B122" s="10"/>
      <c r="M122" s="16"/>
      <c r="N122" s="16" t="str">
        <f t="shared" si="21"/>
        <v/>
      </c>
      <c r="O122" s="16" t="str">
        <f t="shared" si="22"/>
        <v/>
      </c>
      <c r="P122" s="9"/>
      <c r="Q122" s="9"/>
      <c r="R122" s="9"/>
      <c r="S122" s="9"/>
      <c r="T122" s="16" t="str">
        <f t="shared" si="23"/>
        <v/>
      </c>
      <c r="U122" s="16" t="str">
        <f t="shared" si="24"/>
        <v/>
      </c>
      <c r="V122" s="16"/>
      <c r="W122" s="16"/>
      <c r="X122" s="16"/>
      <c r="Y122" s="16"/>
      <c r="Z122" s="16" t="str">
        <f t="shared" si="25"/>
        <v/>
      </c>
      <c r="AA122" s="16" t="str">
        <f t="shared" si="26"/>
        <v/>
      </c>
      <c r="AB122" s="11" t="str">
        <f t="shared" si="27"/>
        <v/>
      </c>
      <c r="AC122" s="10"/>
      <c r="AD122" s="10"/>
      <c r="AE122" s="10"/>
      <c r="AF122" s="10"/>
      <c r="AG122" s="10"/>
    </row>
    <row r="123" spans="2:33">
      <c r="B123" s="10"/>
      <c r="M123" s="16"/>
      <c r="N123" s="16" t="str">
        <f t="shared" si="21"/>
        <v/>
      </c>
      <c r="O123" s="16" t="str">
        <f t="shared" si="22"/>
        <v/>
      </c>
      <c r="P123" s="9"/>
      <c r="Q123" s="9"/>
      <c r="R123" s="9"/>
      <c r="S123" s="9"/>
      <c r="T123" s="16" t="str">
        <f t="shared" si="23"/>
        <v/>
      </c>
      <c r="U123" s="16" t="str">
        <f t="shared" si="24"/>
        <v/>
      </c>
      <c r="V123" s="16"/>
      <c r="W123" s="16"/>
      <c r="X123" s="16"/>
      <c r="Y123" s="16"/>
      <c r="Z123" s="16" t="str">
        <f t="shared" si="25"/>
        <v/>
      </c>
      <c r="AA123" s="16" t="str">
        <f t="shared" si="26"/>
        <v/>
      </c>
      <c r="AB123" s="11" t="str">
        <f t="shared" si="27"/>
        <v/>
      </c>
      <c r="AC123" s="10"/>
      <c r="AD123" s="10"/>
      <c r="AE123" s="10"/>
      <c r="AF123" s="10"/>
      <c r="AG123" s="10"/>
    </row>
    <row r="124" spans="2:33">
      <c r="B124" s="10"/>
      <c r="M124" s="16"/>
      <c r="N124" s="16" t="str">
        <f t="shared" si="21"/>
        <v/>
      </c>
      <c r="O124" s="16" t="str">
        <f t="shared" si="22"/>
        <v/>
      </c>
      <c r="P124" s="9"/>
      <c r="Q124" s="9"/>
      <c r="R124" s="9"/>
      <c r="S124" s="9"/>
      <c r="T124" s="16" t="str">
        <f t="shared" si="23"/>
        <v/>
      </c>
      <c r="U124" s="16" t="str">
        <f t="shared" si="24"/>
        <v/>
      </c>
      <c r="V124" s="16"/>
      <c r="W124" s="16"/>
      <c r="X124" s="16"/>
      <c r="Y124" s="16"/>
      <c r="Z124" s="16" t="str">
        <f t="shared" si="25"/>
        <v/>
      </c>
      <c r="AA124" s="16" t="str">
        <f t="shared" si="26"/>
        <v/>
      </c>
      <c r="AB124" s="11" t="str">
        <f t="shared" si="27"/>
        <v/>
      </c>
      <c r="AC124" s="10"/>
      <c r="AD124" s="10"/>
      <c r="AE124" s="10"/>
      <c r="AF124" s="10"/>
      <c r="AG124" s="10"/>
    </row>
    <row r="125" spans="2:33">
      <c r="B125" s="10"/>
      <c r="M125" s="16"/>
      <c r="N125" s="16" t="str">
        <f t="shared" si="21"/>
        <v/>
      </c>
      <c r="O125" s="16" t="str">
        <f t="shared" si="22"/>
        <v/>
      </c>
      <c r="P125" s="9"/>
      <c r="Q125" s="9"/>
      <c r="R125" s="9"/>
      <c r="S125" s="9"/>
      <c r="T125" s="16" t="str">
        <f t="shared" si="23"/>
        <v/>
      </c>
      <c r="U125" s="16" t="str">
        <f t="shared" si="24"/>
        <v/>
      </c>
      <c r="V125" s="16"/>
      <c r="W125" s="16"/>
      <c r="X125" s="16"/>
      <c r="Y125" s="16"/>
      <c r="Z125" s="16" t="str">
        <f t="shared" si="25"/>
        <v/>
      </c>
      <c r="AA125" s="16" t="str">
        <f t="shared" si="26"/>
        <v/>
      </c>
      <c r="AB125" s="11" t="str">
        <f t="shared" si="27"/>
        <v/>
      </c>
      <c r="AC125" s="10"/>
      <c r="AD125" s="10"/>
      <c r="AE125" s="10"/>
      <c r="AF125" s="10"/>
      <c r="AG125" s="10"/>
    </row>
    <row r="126" spans="2:33">
      <c r="B126" s="10"/>
      <c r="M126" s="16"/>
      <c r="N126" s="16" t="str">
        <f t="shared" si="21"/>
        <v/>
      </c>
      <c r="O126" s="16" t="str">
        <f t="shared" si="22"/>
        <v/>
      </c>
      <c r="P126" s="9"/>
      <c r="Q126" s="9"/>
      <c r="R126" s="9"/>
      <c r="S126" s="9"/>
      <c r="T126" s="16" t="str">
        <f t="shared" si="23"/>
        <v/>
      </c>
      <c r="U126" s="16" t="str">
        <f t="shared" si="24"/>
        <v/>
      </c>
      <c r="V126" s="16"/>
      <c r="W126" s="16"/>
      <c r="X126" s="16"/>
      <c r="Y126" s="16"/>
      <c r="Z126" s="16" t="str">
        <f t="shared" si="25"/>
        <v/>
      </c>
      <c r="AA126" s="16" t="str">
        <f t="shared" si="26"/>
        <v/>
      </c>
      <c r="AB126" s="11" t="str">
        <f t="shared" si="27"/>
        <v/>
      </c>
      <c r="AC126" s="10"/>
      <c r="AD126" s="10"/>
      <c r="AE126" s="10"/>
      <c r="AF126" s="10"/>
      <c r="AG126" s="10"/>
    </row>
    <row r="127" spans="2:33">
      <c r="B127" s="10"/>
      <c r="M127" s="16"/>
      <c r="N127" s="16" t="str">
        <f t="shared" si="21"/>
        <v/>
      </c>
      <c r="O127" s="16" t="str">
        <f t="shared" si="22"/>
        <v/>
      </c>
      <c r="P127" s="9"/>
      <c r="Q127" s="9"/>
      <c r="R127" s="9"/>
      <c r="S127" s="9"/>
      <c r="T127" s="16" t="str">
        <f t="shared" si="23"/>
        <v/>
      </c>
      <c r="U127" s="16" t="str">
        <f t="shared" si="24"/>
        <v/>
      </c>
      <c r="V127" s="16"/>
      <c r="W127" s="16"/>
      <c r="X127" s="16"/>
      <c r="Y127" s="16"/>
      <c r="Z127" s="16" t="str">
        <f t="shared" si="25"/>
        <v/>
      </c>
      <c r="AA127" s="16" t="str">
        <f t="shared" si="26"/>
        <v/>
      </c>
      <c r="AB127" s="11" t="str">
        <f t="shared" si="27"/>
        <v/>
      </c>
      <c r="AC127" s="10"/>
      <c r="AD127" s="10"/>
      <c r="AE127" s="10"/>
      <c r="AF127" s="10"/>
      <c r="AG127" s="10"/>
    </row>
    <row r="128" spans="2:33">
      <c r="B128" s="10"/>
      <c r="M128" s="16"/>
      <c r="N128" s="16" t="str">
        <f t="shared" si="21"/>
        <v/>
      </c>
      <c r="O128" s="16" t="str">
        <f t="shared" si="22"/>
        <v/>
      </c>
      <c r="P128" s="9"/>
      <c r="Q128" s="9"/>
      <c r="R128" s="9"/>
      <c r="S128" s="9"/>
      <c r="T128" s="16" t="str">
        <f t="shared" si="23"/>
        <v/>
      </c>
      <c r="U128" s="16" t="str">
        <f t="shared" si="24"/>
        <v/>
      </c>
      <c r="V128" s="16"/>
      <c r="W128" s="16"/>
      <c r="X128" s="16"/>
      <c r="Y128" s="16"/>
      <c r="Z128" s="16" t="str">
        <f t="shared" si="25"/>
        <v/>
      </c>
      <c r="AA128" s="16" t="str">
        <f t="shared" si="26"/>
        <v/>
      </c>
      <c r="AB128" s="11" t="str">
        <f t="shared" si="27"/>
        <v/>
      </c>
      <c r="AC128" s="10"/>
      <c r="AD128" s="10"/>
      <c r="AE128" s="10"/>
      <c r="AF128" s="10"/>
      <c r="AG128" s="10"/>
    </row>
    <row r="129" spans="2:33">
      <c r="B129" s="10"/>
      <c r="M129" s="16"/>
      <c r="N129" s="16" t="str">
        <f t="shared" si="21"/>
        <v/>
      </c>
      <c r="O129" s="16" t="str">
        <f t="shared" si="22"/>
        <v/>
      </c>
      <c r="P129" s="9"/>
      <c r="Q129" s="9"/>
      <c r="R129" s="9"/>
      <c r="S129" s="9"/>
      <c r="T129" s="16" t="str">
        <f t="shared" si="23"/>
        <v/>
      </c>
      <c r="U129" s="16" t="str">
        <f t="shared" si="24"/>
        <v/>
      </c>
      <c r="V129" s="16"/>
      <c r="W129" s="16"/>
      <c r="X129" s="16"/>
      <c r="Y129" s="16"/>
      <c r="Z129" s="16" t="str">
        <f t="shared" si="25"/>
        <v/>
      </c>
      <c r="AA129" s="16" t="str">
        <f t="shared" si="26"/>
        <v/>
      </c>
      <c r="AB129" s="11" t="str">
        <f t="shared" si="27"/>
        <v/>
      </c>
      <c r="AC129" s="10"/>
      <c r="AD129" s="10"/>
      <c r="AE129" s="10"/>
      <c r="AF129" s="10"/>
      <c r="AG129" s="10"/>
    </row>
    <row r="130" spans="2:33">
      <c r="B130" s="10"/>
      <c r="M130" s="16"/>
      <c r="N130" s="16" t="str">
        <f t="shared" ref="N130:N161" si="28">IF(M130="","",M130*0.077)</f>
        <v/>
      </c>
      <c r="O130" s="16" t="str">
        <f t="shared" ref="O130:O161" si="29">IF(M130="","",M130-N130)</f>
        <v/>
      </c>
      <c r="P130" s="9"/>
      <c r="Q130" s="9"/>
      <c r="R130" s="9"/>
      <c r="S130" s="9"/>
      <c r="T130" s="16" t="str">
        <f t="shared" ref="T130:T161" si="30">IF(OR(Q130="",S130=""),"",IF(OR(R130="USD",R130="EUR",R130="GBP"),Q130*S130,Q130))</f>
        <v/>
      </c>
      <c r="U130" s="16" t="str">
        <f t="shared" ref="U130:U161" si="31">IF(T130="","",IF(ISNUMBER(SEARCH("MyUS",P130)),T130*0.08,0))</f>
        <v/>
      </c>
      <c r="V130" s="16"/>
      <c r="W130" s="16"/>
      <c r="X130" s="16"/>
      <c r="Y130" s="16"/>
      <c r="Z130" s="16" t="str">
        <f t="shared" ref="Z130:Z161" si="32">IF(T130="","",SUM(T130:Y130))</f>
        <v/>
      </c>
      <c r="AA130" s="16" t="str">
        <f t="shared" ref="AA130:AA161" si="33">IF(M130="","",O130-Z130)</f>
        <v/>
      </c>
      <c r="AB130" s="11" t="str">
        <f t="shared" ref="AB130:AB161" si="34">IF(M130="","",AA130/M130)</f>
        <v/>
      </c>
      <c r="AC130" s="10"/>
      <c r="AD130" s="10"/>
      <c r="AE130" s="10"/>
      <c r="AF130" s="10"/>
      <c r="AG130" s="10"/>
    </row>
    <row r="131" spans="2:33">
      <c r="B131" s="10"/>
      <c r="M131" s="16"/>
      <c r="N131" s="16" t="str">
        <f t="shared" si="28"/>
        <v/>
      </c>
      <c r="O131" s="16" t="str">
        <f t="shared" si="29"/>
        <v/>
      </c>
      <c r="P131" s="9"/>
      <c r="Q131" s="9"/>
      <c r="R131" s="9"/>
      <c r="S131" s="9"/>
      <c r="T131" s="16" t="str">
        <f t="shared" si="30"/>
        <v/>
      </c>
      <c r="U131" s="16" t="str">
        <f t="shared" si="31"/>
        <v/>
      </c>
      <c r="V131" s="16"/>
      <c r="W131" s="16"/>
      <c r="X131" s="16"/>
      <c r="Y131" s="16"/>
      <c r="Z131" s="16" t="str">
        <f t="shared" si="32"/>
        <v/>
      </c>
      <c r="AA131" s="16" t="str">
        <f t="shared" si="33"/>
        <v/>
      </c>
      <c r="AB131" s="11" t="str">
        <f t="shared" si="34"/>
        <v/>
      </c>
      <c r="AC131" s="10"/>
      <c r="AD131" s="10"/>
      <c r="AE131" s="10"/>
      <c r="AF131" s="10"/>
      <c r="AG131" s="10"/>
    </row>
    <row r="132" spans="2:33">
      <c r="B132" s="10"/>
      <c r="M132" s="16"/>
      <c r="N132" s="16" t="str">
        <f t="shared" si="28"/>
        <v/>
      </c>
      <c r="O132" s="16" t="str">
        <f t="shared" si="29"/>
        <v/>
      </c>
      <c r="P132" s="9"/>
      <c r="Q132" s="9"/>
      <c r="R132" s="9"/>
      <c r="S132" s="9"/>
      <c r="T132" s="16" t="str">
        <f t="shared" si="30"/>
        <v/>
      </c>
      <c r="U132" s="16" t="str">
        <f t="shared" si="31"/>
        <v/>
      </c>
      <c r="V132" s="16"/>
      <c r="W132" s="16"/>
      <c r="X132" s="16"/>
      <c r="Y132" s="16"/>
      <c r="Z132" s="16" t="str">
        <f t="shared" si="32"/>
        <v/>
      </c>
      <c r="AA132" s="16" t="str">
        <f t="shared" si="33"/>
        <v/>
      </c>
      <c r="AB132" s="11" t="str">
        <f t="shared" si="34"/>
        <v/>
      </c>
      <c r="AC132" s="10"/>
      <c r="AD132" s="10"/>
      <c r="AE132" s="10"/>
      <c r="AF132" s="10"/>
      <c r="AG132" s="10"/>
    </row>
    <row r="133" spans="2:33">
      <c r="B133" s="10"/>
      <c r="M133" s="16"/>
      <c r="N133" s="16" t="str">
        <f t="shared" si="28"/>
        <v/>
      </c>
      <c r="O133" s="16" t="str">
        <f t="shared" si="29"/>
        <v/>
      </c>
      <c r="P133" s="9"/>
      <c r="Q133" s="9"/>
      <c r="R133" s="9"/>
      <c r="S133" s="9"/>
      <c r="T133" s="16" t="str">
        <f t="shared" si="30"/>
        <v/>
      </c>
      <c r="U133" s="16" t="str">
        <f t="shared" si="31"/>
        <v/>
      </c>
      <c r="V133" s="16"/>
      <c r="W133" s="16"/>
      <c r="X133" s="16"/>
      <c r="Y133" s="16"/>
      <c r="Z133" s="16" t="str">
        <f t="shared" si="32"/>
        <v/>
      </c>
      <c r="AA133" s="16" t="str">
        <f t="shared" si="33"/>
        <v/>
      </c>
      <c r="AB133" s="11" t="str">
        <f t="shared" si="34"/>
        <v/>
      </c>
      <c r="AC133" s="10"/>
      <c r="AD133" s="10"/>
      <c r="AE133" s="10"/>
      <c r="AF133" s="10"/>
      <c r="AG133" s="10"/>
    </row>
    <row r="134" spans="2:33">
      <c r="B134" s="10"/>
      <c r="M134" s="16"/>
      <c r="N134" s="16" t="str">
        <f t="shared" si="28"/>
        <v/>
      </c>
      <c r="O134" s="16" t="str">
        <f t="shared" si="29"/>
        <v/>
      </c>
      <c r="P134" s="9"/>
      <c r="Q134" s="9"/>
      <c r="R134" s="9"/>
      <c r="S134" s="9"/>
      <c r="T134" s="16" t="str">
        <f t="shared" si="30"/>
        <v/>
      </c>
      <c r="U134" s="16" t="str">
        <f t="shared" si="31"/>
        <v/>
      </c>
      <c r="V134" s="16"/>
      <c r="W134" s="16"/>
      <c r="X134" s="16"/>
      <c r="Y134" s="16"/>
      <c r="Z134" s="16" t="str">
        <f t="shared" si="32"/>
        <v/>
      </c>
      <c r="AA134" s="16" t="str">
        <f t="shared" si="33"/>
        <v/>
      </c>
      <c r="AB134" s="11" t="str">
        <f t="shared" si="34"/>
        <v/>
      </c>
      <c r="AC134" s="10"/>
      <c r="AD134" s="10"/>
      <c r="AE134" s="10"/>
      <c r="AF134" s="10"/>
      <c r="AG134" s="10"/>
    </row>
    <row r="135" spans="2:33">
      <c r="B135" s="10"/>
      <c r="M135" s="16"/>
      <c r="N135" s="16" t="str">
        <f t="shared" si="28"/>
        <v/>
      </c>
      <c r="O135" s="16" t="str">
        <f t="shared" si="29"/>
        <v/>
      </c>
      <c r="P135" s="9"/>
      <c r="Q135" s="9"/>
      <c r="R135" s="9"/>
      <c r="S135" s="9"/>
      <c r="T135" s="16" t="str">
        <f t="shared" si="30"/>
        <v/>
      </c>
      <c r="U135" s="16" t="str">
        <f t="shared" si="31"/>
        <v/>
      </c>
      <c r="V135" s="16"/>
      <c r="W135" s="16"/>
      <c r="X135" s="16"/>
      <c r="Y135" s="16"/>
      <c r="Z135" s="16" t="str">
        <f t="shared" si="32"/>
        <v/>
      </c>
      <c r="AA135" s="16" t="str">
        <f t="shared" si="33"/>
        <v/>
      </c>
      <c r="AB135" s="11" t="str">
        <f t="shared" si="34"/>
        <v/>
      </c>
      <c r="AC135" s="10"/>
      <c r="AD135" s="10"/>
      <c r="AE135" s="10"/>
      <c r="AF135" s="10"/>
      <c r="AG135" s="10"/>
    </row>
    <row r="136" spans="2:33">
      <c r="B136" s="10"/>
      <c r="M136" s="16"/>
      <c r="N136" s="16" t="str">
        <f t="shared" si="28"/>
        <v/>
      </c>
      <c r="O136" s="16" t="str">
        <f t="shared" si="29"/>
        <v/>
      </c>
      <c r="P136" s="9"/>
      <c r="Q136" s="9"/>
      <c r="R136" s="9"/>
      <c r="S136" s="9"/>
      <c r="T136" s="16" t="str">
        <f t="shared" si="30"/>
        <v/>
      </c>
      <c r="U136" s="16" t="str">
        <f t="shared" si="31"/>
        <v/>
      </c>
      <c r="V136" s="16"/>
      <c r="W136" s="16"/>
      <c r="X136" s="16"/>
      <c r="Y136" s="16"/>
      <c r="Z136" s="16" t="str">
        <f t="shared" si="32"/>
        <v/>
      </c>
      <c r="AA136" s="16" t="str">
        <f t="shared" si="33"/>
        <v/>
      </c>
      <c r="AB136" s="11" t="str">
        <f t="shared" si="34"/>
        <v/>
      </c>
      <c r="AC136" s="10"/>
      <c r="AD136" s="10"/>
      <c r="AE136" s="10"/>
      <c r="AF136" s="10"/>
      <c r="AG136" s="10"/>
    </row>
    <row r="137" spans="2:33">
      <c r="B137" s="10"/>
      <c r="M137" s="16"/>
      <c r="N137" s="16" t="str">
        <f t="shared" si="28"/>
        <v/>
      </c>
      <c r="O137" s="16" t="str">
        <f t="shared" si="29"/>
        <v/>
      </c>
      <c r="P137" s="9"/>
      <c r="Q137" s="9"/>
      <c r="R137" s="9"/>
      <c r="S137" s="9"/>
      <c r="T137" s="16" t="str">
        <f t="shared" si="30"/>
        <v/>
      </c>
      <c r="U137" s="16" t="str">
        <f t="shared" si="31"/>
        <v/>
      </c>
      <c r="V137" s="16"/>
      <c r="W137" s="16"/>
      <c r="X137" s="16"/>
      <c r="Y137" s="16"/>
      <c r="Z137" s="16" t="str">
        <f t="shared" si="32"/>
        <v/>
      </c>
      <c r="AA137" s="16" t="str">
        <f t="shared" si="33"/>
        <v/>
      </c>
      <c r="AB137" s="11" t="str">
        <f t="shared" si="34"/>
        <v/>
      </c>
      <c r="AC137" s="10"/>
      <c r="AD137" s="10"/>
      <c r="AE137" s="10"/>
      <c r="AF137" s="10"/>
      <c r="AG137" s="10"/>
    </row>
    <row r="138" spans="2:33">
      <c r="B138" s="10"/>
      <c r="M138" s="16"/>
      <c r="N138" s="16" t="str">
        <f t="shared" si="28"/>
        <v/>
      </c>
      <c r="O138" s="16" t="str">
        <f t="shared" si="29"/>
        <v/>
      </c>
      <c r="P138" s="9"/>
      <c r="Q138" s="9"/>
      <c r="R138" s="9"/>
      <c r="S138" s="9"/>
      <c r="T138" s="16" t="str">
        <f t="shared" si="30"/>
        <v/>
      </c>
      <c r="U138" s="16" t="str">
        <f t="shared" si="31"/>
        <v/>
      </c>
      <c r="V138" s="16"/>
      <c r="W138" s="16"/>
      <c r="X138" s="16"/>
      <c r="Y138" s="16"/>
      <c r="Z138" s="16" t="str">
        <f t="shared" si="32"/>
        <v/>
      </c>
      <c r="AA138" s="16" t="str">
        <f t="shared" si="33"/>
        <v/>
      </c>
      <c r="AB138" s="11" t="str">
        <f t="shared" si="34"/>
        <v/>
      </c>
      <c r="AC138" s="10"/>
      <c r="AD138" s="10"/>
      <c r="AE138" s="10"/>
      <c r="AF138" s="10"/>
      <c r="AG138" s="10"/>
    </row>
    <row r="139" spans="2:33">
      <c r="B139" s="10"/>
      <c r="M139" s="16"/>
      <c r="N139" s="16" t="str">
        <f t="shared" si="28"/>
        <v/>
      </c>
      <c r="O139" s="16" t="str">
        <f t="shared" si="29"/>
        <v/>
      </c>
      <c r="P139" s="9"/>
      <c r="Q139" s="9"/>
      <c r="R139" s="9"/>
      <c r="S139" s="9"/>
      <c r="T139" s="16" t="str">
        <f t="shared" si="30"/>
        <v/>
      </c>
      <c r="U139" s="16" t="str">
        <f t="shared" si="31"/>
        <v/>
      </c>
      <c r="V139" s="16"/>
      <c r="W139" s="16"/>
      <c r="X139" s="16"/>
      <c r="Y139" s="16"/>
      <c r="Z139" s="16" t="str">
        <f t="shared" si="32"/>
        <v/>
      </c>
      <c r="AA139" s="16" t="str">
        <f t="shared" si="33"/>
        <v/>
      </c>
      <c r="AB139" s="11" t="str">
        <f t="shared" si="34"/>
        <v/>
      </c>
      <c r="AC139" s="10"/>
      <c r="AD139" s="10"/>
      <c r="AE139" s="10"/>
      <c r="AF139" s="10"/>
      <c r="AG139" s="10"/>
    </row>
    <row r="140" spans="2:33">
      <c r="B140" s="10"/>
      <c r="M140" s="16"/>
      <c r="N140" s="16" t="str">
        <f t="shared" si="28"/>
        <v/>
      </c>
      <c r="O140" s="16" t="str">
        <f t="shared" si="29"/>
        <v/>
      </c>
      <c r="P140" s="9"/>
      <c r="Q140" s="9"/>
      <c r="R140" s="9"/>
      <c r="S140" s="9"/>
      <c r="T140" s="16" t="str">
        <f t="shared" si="30"/>
        <v/>
      </c>
      <c r="U140" s="16" t="str">
        <f t="shared" si="31"/>
        <v/>
      </c>
      <c r="V140" s="16"/>
      <c r="W140" s="16"/>
      <c r="X140" s="16"/>
      <c r="Y140" s="16"/>
      <c r="Z140" s="16" t="str">
        <f t="shared" si="32"/>
        <v/>
      </c>
      <c r="AA140" s="16" t="str">
        <f t="shared" si="33"/>
        <v/>
      </c>
      <c r="AB140" s="11" t="str">
        <f t="shared" si="34"/>
        <v/>
      </c>
      <c r="AC140" s="10"/>
      <c r="AD140" s="10"/>
      <c r="AE140" s="10"/>
      <c r="AF140" s="10"/>
      <c r="AG140" s="10"/>
    </row>
    <row r="141" spans="2:33">
      <c r="B141" s="10"/>
      <c r="M141" s="16"/>
      <c r="N141" s="16" t="str">
        <f t="shared" si="28"/>
        <v/>
      </c>
      <c r="O141" s="16" t="str">
        <f t="shared" si="29"/>
        <v/>
      </c>
      <c r="P141" s="9"/>
      <c r="Q141" s="9"/>
      <c r="R141" s="9"/>
      <c r="S141" s="9"/>
      <c r="T141" s="16" t="str">
        <f t="shared" si="30"/>
        <v/>
      </c>
      <c r="U141" s="16" t="str">
        <f t="shared" si="31"/>
        <v/>
      </c>
      <c r="V141" s="16"/>
      <c r="W141" s="16"/>
      <c r="X141" s="16"/>
      <c r="Y141" s="16"/>
      <c r="Z141" s="16" t="str">
        <f t="shared" si="32"/>
        <v/>
      </c>
      <c r="AA141" s="16" t="str">
        <f t="shared" si="33"/>
        <v/>
      </c>
      <c r="AB141" s="11" t="str">
        <f t="shared" si="34"/>
        <v/>
      </c>
      <c r="AC141" s="10"/>
      <c r="AD141" s="10"/>
      <c r="AE141" s="10"/>
      <c r="AF141" s="10"/>
      <c r="AG141" s="10"/>
    </row>
    <row r="142" spans="2:33">
      <c r="B142" s="10"/>
      <c r="M142" s="16"/>
      <c r="N142" s="16" t="str">
        <f t="shared" si="28"/>
        <v/>
      </c>
      <c r="O142" s="16" t="str">
        <f t="shared" si="29"/>
        <v/>
      </c>
      <c r="P142" s="9"/>
      <c r="Q142" s="9"/>
      <c r="R142" s="9"/>
      <c r="S142" s="9"/>
      <c r="T142" s="16" t="str">
        <f t="shared" si="30"/>
        <v/>
      </c>
      <c r="U142" s="16" t="str">
        <f t="shared" si="31"/>
        <v/>
      </c>
      <c r="V142" s="16"/>
      <c r="W142" s="16"/>
      <c r="X142" s="16"/>
      <c r="Y142" s="16"/>
      <c r="Z142" s="16" t="str">
        <f t="shared" si="32"/>
        <v/>
      </c>
      <c r="AA142" s="16" t="str">
        <f t="shared" si="33"/>
        <v/>
      </c>
      <c r="AB142" s="11" t="str">
        <f t="shared" si="34"/>
        <v/>
      </c>
      <c r="AC142" s="10"/>
      <c r="AD142" s="10"/>
      <c r="AE142" s="10"/>
      <c r="AF142" s="10"/>
      <c r="AG142" s="10"/>
    </row>
    <row r="143" spans="2:33">
      <c r="B143" s="10"/>
      <c r="M143" s="16"/>
      <c r="N143" s="16" t="str">
        <f t="shared" si="28"/>
        <v/>
      </c>
      <c r="O143" s="16" t="str">
        <f t="shared" si="29"/>
        <v/>
      </c>
      <c r="P143" s="9"/>
      <c r="Q143" s="9"/>
      <c r="R143" s="9"/>
      <c r="S143" s="9"/>
      <c r="T143" s="16" t="str">
        <f t="shared" si="30"/>
        <v/>
      </c>
      <c r="U143" s="16" t="str">
        <f t="shared" si="31"/>
        <v/>
      </c>
      <c r="V143" s="16"/>
      <c r="W143" s="16"/>
      <c r="X143" s="16"/>
      <c r="Y143" s="16"/>
      <c r="Z143" s="16" t="str">
        <f t="shared" si="32"/>
        <v/>
      </c>
      <c r="AA143" s="16" t="str">
        <f t="shared" si="33"/>
        <v/>
      </c>
      <c r="AB143" s="11" t="str">
        <f t="shared" si="34"/>
        <v/>
      </c>
      <c r="AC143" s="10"/>
      <c r="AD143" s="10"/>
      <c r="AE143" s="10"/>
      <c r="AF143" s="10"/>
      <c r="AG143" s="10"/>
    </row>
    <row r="144" spans="2:33">
      <c r="B144" s="10"/>
      <c r="M144" s="16"/>
      <c r="N144" s="16" t="str">
        <f t="shared" si="28"/>
        <v/>
      </c>
      <c r="O144" s="16" t="str">
        <f t="shared" si="29"/>
        <v/>
      </c>
      <c r="P144" s="9"/>
      <c r="Q144" s="9"/>
      <c r="R144" s="9"/>
      <c r="S144" s="9"/>
      <c r="T144" s="16" t="str">
        <f t="shared" si="30"/>
        <v/>
      </c>
      <c r="U144" s="16" t="str">
        <f t="shared" si="31"/>
        <v/>
      </c>
      <c r="V144" s="16"/>
      <c r="W144" s="16"/>
      <c r="X144" s="16"/>
      <c r="Y144" s="16"/>
      <c r="Z144" s="16" t="str">
        <f t="shared" si="32"/>
        <v/>
      </c>
      <c r="AA144" s="16" t="str">
        <f t="shared" si="33"/>
        <v/>
      </c>
      <c r="AB144" s="11" t="str">
        <f t="shared" si="34"/>
        <v/>
      </c>
      <c r="AC144" s="10"/>
      <c r="AD144" s="10"/>
      <c r="AE144" s="10"/>
      <c r="AF144" s="10"/>
      <c r="AG144" s="10"/>
    </row>
    <row r="145" spans="2:33">
      <c r="B145" s="10"/>
      <c r="M145" s="16"/>
      <c r="N145" s="16" t="str">
        <f t="shared" si="28"/>
        <v/>
      </c>
      <c r="O145" s="16" t="str">
        <f t="shared" si="29"/>
        <v/>
      </c>
      <c r="P145" s="9"/>
      <c r="Q145" s="9"/>
      <c r="R145" s="9"/>
      <c r="S145" s="9"/>
      <c r="T145" s="16" t="str">
        <f t="shared" si="30"/>
        <v/>
      </c>
      <c r="U145" s="16" t="str">
        <f t="shared" si="31"/>
        <v/>
      </c>
      <c r="V145" s="16"/>
      <c r="W145" s="16"/>
      <c r="X145" s="16"/>
      <c r="Y145" s="16"/>
      <c r="Z145" s="16" t="str">
        <f t="shared" si="32"/>
        <v/>
      </c>
      <c r="AA145" s="16" t="str">
        <f t="shared" si="33"/>
        <v/>
      </c>
      <c r="AB145" s="11" t="str">
        <f t="shared" si="34"/>
        <v/>
      </c>
      <c r="AC145" s="10"/>
      <c r="AD145" s="10"/>
      <c r="AE145" s="10"/>
      <c r="AF145" s="10"/>
      <c r="AG145" s="10"/>
    </row>
    <row r="146" spans="2:33">
      <c r="B146" s="10"/>
      <c r="M146" s="16"/>
      <c r="N146" s="16" t="str">
        <f t="shared" si="28"/>
        <v/>
      </c>
      <c r="O146" s="16" t="str">
        <f t="shared" si="29"/>
        <v/>
      </c>
      <c r="P146" s="9"/>
      <c r="Q146" s="9"/>
      <c r="R146" s="9"/>
      <c r="S146" s="9"/>
      <c r="T146" s="16" t="str">
        <f t="shared" si="30"/>
        <v/>
      </c>
      <c r="U146" s="16" t="str">
        <f t="shared" si="31"/>
        <v/>
      </c>
      <c r="V146" s="16"/>
      <c r="W146" s="16"/>
      <c r="X146" s="16"/>
      <c r="Y146" s="16"/>
      <c r="Z146" s="16" t="str">
        <f t="shared" si="32"/>
        <v/>
      </c>
      <c r="AA146" s="16" t="str">
        <f t="shared" si="33"/>
        <v/>
      </c>
      <c r="AB146" s="11" t="str">
        <f t="shared" si="34"/>
        <v/>
      </c>
      <c r="AC146" s="10"/>
      <c r="AD146" s="10"/>
      <c r="AE146" s="10"/>
      <c r="AF146" s="10"/>
      <c r="AG146" s="10"/>
    </row>
    <row r="147" spans="2:33">
      <c r="B147" s="10"/>
      <c r="M147" s="16"/>
      <c r="N147" s="16" t="str">
        <f t="shared" si="28"/>
        <v/>
      </c>
      <c r="O147" s="16" t="str">
        <f t="shared" si="29"/>
        <v/>
      </c>
      <c r="P147" s="9"/>
      <c r="Q147" s="9"/>
      <c r="R147" s="9"/>
      <c r="S147" s="9"/>
      <c r="T147" s="16" t="str">
        <f t="shared" si="30"/>
        <v/>
      </c>
      <c r="U147" s="16" t="str">
        <f t="shared" si="31"/>
        <v/>
      </c>
      <c r="V147" s="16"/>
      <c r="W147" s="16"/>
      <c r="X147" s="16"/>
      <c r="Y147" s="16"/>
      <c r="Z147" s="16" t="str">
        <f t="shared" si="32"/>
        <v/>
      </c>
      <c r="AA147" s="16" t="str">
        <f t="shared" si="33"/>
        <v/>
      </c>
      <c r="AB147" s="11" t="str">
        <f t="shared" si="34"/>
        <v/>
      </c>
      <c r="AC147" s="10"/>
      <c r="AD147" s="10"/>
      <c r="AE147" s="10"/>
      <c r="AF147" s="10"/>
      <c r="AG147" s="10"/>
    </row>
    <row r="148" spans="2:33">
      <c r="B148" s="10"/>
      <c r="M148" s="16"/>
      <c r="N148" s="16" t="str">
        <f t="shared" si="28"/>
        <v/>
      </c>
      <c r="O148" s="16" t="str">
        <f t="shared" si="29"/>
        <v/>
      </c>
      <c r="P148" s="9"/>
      <c r="Q148" s="9"/>
      <c r="R148" s="9"/>
      <c r="S148" s="9"/>
      <c r="T148" s="16" t="str">
        <f t="shared" si="30"/>
        <v/>
      </c>
      <c r="U148" s="16" t="str">
        <f t="shared" si="31"/>
        <v/>
      </c>
      <c r="V148" s="16"/>
      <c r="W148" s="16"/>
      <c r="X148" s="16"/>
      <c r="Y148" s="16"/>
      <c r="Z148" s="16" t="str">
        <f t="shared" si="32"/>
        <v/>
      </c>
      <c r="AA148" s="16" t="str">
        <f t="shared" si="33"/>
        <v/>
      </c>
      <c r="AB148" s="11" t="str">
        <f t="shared" si="34"/>
        <v/>
      </c>
      <c r="AC148" s="10"/>
      <c r="AD148" s="10"/>
      <c r="AE148" s="10"/>
      <c r="AF148" s="10"/>
      <c r="AG148" s="10"/>
    </row>
    <row r="149" spans="2:33">
      <c r="B149" s="10"/>
      <c r="M149" s="16"/>
      <c r="N149" s="16" t="str">
        <f t="shared" si="28"/>
        <v/>
      </c>
      <c r="O149" s="16" t="str">
        <f t="shared" si="29"/>
        <v/>
      </c>
      <c r="P149" s="9"/>
      <c r="Q149" s="9"/>
      <c r="R149" s="9"/>
      <c r="S149" s="9"/>
      <c r="T149" s="16" t="str">
        <f t="shared" si="30"/>
        <v/>
      </c>
      <c r="U149" s="16" t="str">
        <f t="shared" si="31"/>
        <v/>
      </c>
      <c r="V149" s="16"/>
      <c r="W149" s="16"/>
      <c r="X149" s="16"/>
      <c r="Y149" s="16"/>
      <c r="Z149" s="16" t="str">
        <f t="shared" si="32"/>
        <v/>
      </c>
      <c r="AA149" s="16" t="str">
        <f t="shared" si="33"/>
        <v/>
      </c>
      <c r="AB149" s="11" t="str">
        <f t="shared" si="34"/>
        <v/>
      </c>
      <c r="AC149" s="10"/>
      <c r="AD149" s="10"/>
      <c r="AE149" s="10"/>
      <c r="AF149" s="10"/>
      <c r="AG149" s="10"/>
    </row>
    <row r="150" spans="2:33">
      <c r="B150" s="10"/>
      <c r="M150" s="16"/>
      <c r="N150" s="16" t="str">
        <f t="shared" si="28"/>
        <v/>
      </c>
      <c r="O150" s="16" t="str">
        <f t="shared" si="29"/>
        <v/>
      </c>
      <c r="P150" s="9"/>
      <c r="Q150" s="9"/>
      <c r="R150" s="9"/>
      <c r="S150" s="9"/>
      <c r="T150" s="16" t="str">
        <f t="shared" si="30"/>
        <v/>
      </c>
      <c r="U150" s="16" t="str">
        <f t="shared" si="31"/>
        <v/>
      </c>
      <c r="V150" s="16"/>
      <c r="W150" s="16"/>
      <c r="X150" s="16"/>
      <c r="Y150" s="16"/>
      <c r="Z150" s="16" t="str">
        <f t="shared" si="32"/>
        <v/>
      </c>
      <c r="AA150" s="16" t="str">
        <f t="shared" si="33"/>
        <v/>
      </c>
      <c r="AB150" s="11" t="str">
        <f t="shared" si="34"/>
        <v/>
      </c>
      <c r="AC150" s="10"/>
      <c r="AD150" s="10"/>
      <c r="AE150" s="10"/>
      <c r="AF150" s="10"/>
      <c r="AG150" s="10"/>
    </row>
    <row r="151" spans="2:33">
      <c r="B151" s="10"/>
      <c r="M151" s="16"/>
      <c r="N151" s="16" t="str">
        <f t="shared" si="28"/>
        <v/>
      </c>
      <c r="O151" s="16" t="str">
        <f t="shared" si="29"/>
        <v/>
      </c>
      <c r="P151" s="9"/>
      <c r="Q151" s="9"/>
      <c r="R151" s="9"/>
      <c r="S151" s="9"/>
      <c r="T151" s="16" t="str">
        <f t="shared" si="30"/>
        <v/>
      </c>
      <c r="U151" s="16" t="str">
        <f t="shared" si="31"/>
        <v/>
      </c>
      <c r="V151" s="16"/>
      <c r="W151" s="16"/>
      <c r="X151" s="16"/>
      <c r="Y151" s="16"/>
      <c r="Z151" s="16" t="str">
        <f t="shared" si="32"/>
        <v/>
      </c>
      <c r="AA151" s="16" t="str">
        <f t="shared" si="33"/>
        <v/>
      </c>
      <c r="AB151" s="11" t="str">
        <f t="shared" si="34"/>
        <v/>
      </c>
      <c r="AC151" s="10"/>
      <c r="AD151" s="10"/>
      <c r="AE151" s="10"/>
      <c r="AF151" s="10"/>
      <c r="AG151" s="10"/>
    </row>
    <row r="152" spans="2:33">
      <c r="B152" s="10"/>
      <c r="M152" s="16"/>
      <c r="N152" s="16" t="str">
        <f t="shared" si="28"/>
        <v/>
      </c>
      <c r="O152" s="16" t="str">
        <f t="shared" si="29"/>
        <v/>
      </c>
      <c r="P152" s="9"/>
      <c r="Q152" s="9"/>
      <c r="R152" s="9"/>
      <c r="S152" s="9"/>
      <c r="T152" s="16" t="str">
        <f t="shared" si="30"/>
        <v/>
      </c>
      <c r="U152" s="16" t="str">
        <f t="shared" si="31"/>
        <v/>
      </c>
      <c r="V152" s="16"/>
      <c r="W152" s="16"/>
      <c r="X152" s="16"/>
      <c r="Y152" s="16"/>
      <c r="Z152" s="16" t="str">
        <f t="shared" si="32"/>
        <v/>
      </c>
      <c r="AA152" s="16" t="str">
        <f t="shared" si="33"/>
        <v/>
      </c>
      <c r="AB152" s="11" t="str">
        <f t="shared" si="34"/>
        <v/>
      </c>
      <c r="AC152" s="10"/>
      <c r="AD152" s="10"/>
      <c r="AE152" s="10"/>
      <c r="AF152" s="10"/>
      <c r="AG152" s="10"/>
    </row>
    <row r="153" spans="2:33">
      <c r="B153" s="10"/>
      <c r="M153" s="16"/>
      <c r="N153" s="16" t="str">
        <f t="shared" si="28"/>
        <v/>
      </c>
      <c r="O153" s="16" t="str">
        <f t="shared" si="29"/>
        <v/>
      </c>
      <c r="P153" s="9"/>
      <c r="Q153" s="9"/>
      <c r="R153" s="9"/>
      <c r="S153" s="9"/>
      <c r="T153" s="16" t="str">
        <f t="shared" si="30"/>
        <v/>
      </c>
      <c r="U153" s="16" t="str">
        <f t="shared" si="31"/>
        <v/>
      </c>
      <c r="V153" s="16"/>
      <c r="W153" s="16"/>
      <c r="X153" s="16"/>
      <c r="Y153" s="16"/>
      <c r="Z153" s="16" t="str">
        <f t="shared" si="32"/>
        <v/>
      </c>
      <c r="AA153" s="16" t="str">
        <f t="shared" si="33"/>
        <v/>
      </c>
      <c r="AB153" s="11" t="str">
        <f t="shared" si="34"/>
        <v/>
      </c>
      <c r="AC153" s="10"/>
      <c r="AD153" s="10"/>
      <c r="AE153" s="10"/>
      <c r="AF153" s="10"/>
      <c r="AG153" s="10"/>
    </row>
    <row r="154" spans="2:33">
      <c r="B154" s="10"/>
      <c r="M154" s="16"/>
      <c r="N154" s="16" t="str">
        <f t="shared" si="28"/>
        <v/>
      </c>
      <c r="O154" s="16" t="str">
        <f t="shared" si="29"/>
        <v/>
      </c>
      <c r="P154" s="9"/>
      <c r="Q154" s="9"/>
      <c r="R154" s="9"/>
      <c r="S154" s="9"/>
      <c r="T154" s="16" t="str">
        <f t="shared" si="30"/>
        <v/>
      </c>
      <c r="U154" s="16" t="str">
        <f t="shared" si="31"/>
        <v/>
      </c>
      <c r="V154" s="16"/>
      <c r="W154" s="16"/>
      <c r="X154" s="16"/>
      <c r="Y154" s="16"/>
      <c r="Z154" s="16" t="str">
        <f t="shared" si="32"/>
        <v/>
      </c>
      <c r="AA154" s="16" t="str">
        <f t="shared" si="33"/>
        <v/>
      </c>
      <c r="AB154" s="11" t="str">
        <f t="shared" si="34"/>
        <v/>
      </c>
      <c r="AC154" s="10"/>
      <c r="AD154" s="10"/>
      <c r="AE154" s="10"/>
      <c r="AF154" s="10"/>
      <c r="AG154" s="10"/>
    </row>
    <row r="155" spans="2:33">
      <c r="B155" s="10"/>
      <c r="M155" s="16"/>
      <c r="N155" s="16" t="str">
        <f t="shared" si="28"/>
        <v/>
      </c>
      <c r="O155" s="16" t="str">
        <f t="shared" si="29"/>
        <v/>
      </c>
      <c r="P155" s="9"/>
      <c r="Q155" s="9"/>
      <c r="R155" s="9"/>
      <c r="S155" s="9"/>
      <c r="T155" s="16" t="str">
        <f t="shared" si="30"/>
        <v/>
      </c>
      <c r="U155" s="16" t="str">
        <f t="shared" si="31"/>
        <v/>
      </c>
      <c r="V155" s="16"/>
      <c r="W155" s="16"/>
      <c r="X155" s="16"/>
      <c r="Y155" s="16"/>
      <c r="Z155" s="16" t="str">
        <f t="shared" si="32"/>
        <v/>
      </c>
      <c r="AA155" s="16" t="str">
        <f t="shared" si="33"/>
        <v/>
      </c>
      <c r="AB155" s="11" t="str">
        <f t="shared" si="34"/>
        <v/>
      </c>
      <c r="AC155" s="10"/>
      <c r="AD155" s="10"/>
      <c r="AE155" s="10"/>
      <c r="AF155" s="10"/>
      <c r="AG155" s="10"/>
    </row>
    <row r="156" spans="2:33">
      <c r="B156" s="10"/>
      <c r="M156" s="16"/>
      <c r="N156" s="16" t="str">
        <f t="shared" si="28"/>
        <v/>
      </c>
      <c r="O156" s="16" t="str">
        <f t="shared" si="29"/>
        <v/>
      </c>
      <c r="P156" s="9"/>
      <c r="Q156" s="9"/>
      <c r="R156" s="9"/>
      <c r="S156" s="9"/>
      <c r="T156" s="16" t="str">
        <f t="shared" si="30"/>
        <v/>
      </c>
      <c r="U156" s="16" t="str">
        <f t="shared" si="31"/>
        <v/>
      </c>
      <c r="V156" s="16"/>
      <c r="W156" s="16"/>
      <c r="X156" s="16"/>
      <c r="Y156" s="16"/>
      <c r="Z156" s="16" t="str">
        <f t="shared" si="32"/>
        <v/>
      </c>
      <c r="AA156" s="16" t="str">
        <f t="shared" si="33"/>
        <v/>
      </c>
      <c r="AB156" s="11" t="str">
        <f t="shared" si="34"/>
        <v/>
      </c>
      <c r="AC156" s="10"/>
      <c r="AD156" s="10"/>
      <c r="AE156" s="10"/>
      <c r="AF156" s="10"/>
      <c r="AG156" s="10"/>
    </row>
    <row r="157" spans="2:33">
      <c r="B157" s="10"/>
      <c r="M157" s="16"/>
      <c r="N157" s="16" t="str">
        <f t="shared" si="28"/>
        <v/>
      </c>
      <c r="O157" s="16" t="str">
        <f t="shared" si="29"/>
        <v/>
      </c>
      <c r="P157" s="9"/>
      <c r="Q157" s="9"/>
      <c r="R157" s="9"/>
      <c r="S157" s="9"/>
      <c r="T157" s="16" t="str">
        <f t="shared" si="30"/>
        <v/>
      </c>
      <c r="U157" s="16" t="str">
        <f t="shared" si="31"/>
        <v/>
      </c>
      <c r="V157" s="16"/>
      <c r="W157" s="16"/>
      <c r="X157" s="16"/>
      <c r="Y157" s="16"/>
      <c r="Z157" s="16" t="str">
        <f t="shared" si="32"/>
        <v/>
      </c>
      <c r="AA157" s="16" t="str">
        <f t="shared" si="33"/>
        <v/>
      </c>
      <c r="AB157" s="11" t="str">
        <f t="shared" si="34"/>
        <v/>
      </c>
      <c r="AC157" s="10"/>
      <c r="AD157" s="10"/>
      <c r="AE157" s="10"/>
      <c r="AF157" s="10"/>
      <c r="AG157" s="10"/>
    </row>
    <row r="158" spans="2:33">
      <c r="B158" s="10"/>
      <c r="M158" s="16"/>
      <c r="N158" s="16" t="str">
        <f t="shared" si="28"/>
        <v/>
      </c>
      <c r="O158" s="16" t="str">
        <f t="shared" si="29"/>
        <v/>
      </c>
      <c r="P158" s="9"/>
      <c r="Q158" s="9"/>
      <c r="R158" s="9"/>
      <c r="S158" s="9"/>
      <c r="T158" s="16" t="str">
        <f t="shared" si="30"/>
        <v/>
      </c>
      <c r="U158" s="16" t="str">
        <f t="shared" si="31"/>
        <v/>
      </c>
      <c r="V158" s="16"/>
      <c r="W158" s="16"/>
      <c r="X158" s="16"/>
      <c r="Y158" s="16"/>
      <c r="Z158" s="16" t="str">
        <f t="shared" si="32"/>
        <v/>
      </c>
      <c r="AA158" s="16" t="str">
        <f t="shared" si="33"/>
        <v/>
      </c>
      <c r="AB158" s="11" t="str">
        <f t="shared" si="34"/>
        <v/>
      </c>
      <c r="AC158" s="10"/>
      <c r="AD158" s="10"/>
      <c r="AE158" s="10"/>
      <c r="AF158" s="10"/>
      <c r="AG158" s="10"/>
    </row>
    <row r="159" spans="2:33">
      <c r="B159" s="10"/>
      <c r="M159" s="16"/>
      <c r="N159" s="16" t="str">
        <f t="shared" si="28"/>
        <v/>
      </c>
      <c r="O159" s="16" t="str">
        <f t="shared" si="29"/>
        <v/>
      </c>
      <c r="P159" s="9"/>
      <c r="Q159" s="9"/>
      <c r="R159" s="9"/>
      <c r="S159" s="9"/>
      <c r="T159" s="16" t="str">
        <f t="shared" si="30"/>
        <v/>
      </c>
      <c r="U159" s="16" t="str">
        <f t="shared" si="31"/>
        <v/>
      </c>
      <c r="V159" s="16"/>
      <c r="W159" s="16"/>
      <c r="X159" s="16"/>
      <c r="Y159" s="16"/>
      <c r="Z159" s="16" t="str">
        <f t="shared" si="32"/>
        <v/>
      </c>
      <c r="AA159" s="16" t="str">
        <f t="shared" si="33"/>
        <v/>
      </c>
      <c r="AB159" s="11" t="str">
        <f t="shared" si="34"/>
        <v/>
      </c>
      <c r="AC159" s="10"/>
      <c r="AD159" s="10"/>
      <c r="AE159" s="10"/>
      <c r="AF159" s="10"/>
      <c r="AG159" s="10"/>
    </row>
    <row r="160" spans="2:33">
      <c r="B160" s="10"/>
      <c r="M160" s="16"/>
      <c r="N160" s="16" t="str">
        <f t="shared" si="28"/>
        <v/>
      </c>
      <c r="O160" s="16" t="str">
        <f t="shared" si="29"/>
        <v/>
      </c>
      <c r="P160" s="9"/>
      <c r="Q160" s="9"/>
      <c r="R160" s="9"/>
      <c r="S160" s="9"/>
      <c r="T160" s="16" t="str">
        <f t="shared" si="30"/>
        <v/>
      </c>
      <c r="U160" s="16" t="str">
        <f t="shared" si="31"/>
        <v/>
      </c>
      <c r="V160" s="16"/>
      <c r="W160" s="16"/>
      <c r="X160" s="16"/>
      <c r="Y160" s="16"/>
      <c r="Z160" s="16" t="str">
        <f t="shared" si="32"/>
        <v/>
      </c>
      <c r="AA160" s="16" t="str">
        <f t="shared" si="33"/>
        <v/>
      </c>
      <c r="AB160" s="11" t="str">
        <f t="shared" si="34"/>
        <v/>
      </c>
      <c r="AC160" s="10"/>
      <c r="AD160" s="10"/>
      <c r="AE160" s="10"/>
      <c r="AF160" s="10"/>
      <c r="AG160" s="10"/>
    </row>
    <row r="161" spans="2:33">
      <c r="B161" s="10"/>
      <c r="M161" s="16"/>
      <c r="N161" s="16" t="str">
        <f t="shared" si="28"/>
        <v/>
      </c>
      <c r="O161" s="16" t="str">
        <f t="shared" si="29"/>
        <v/>
      </c>
      <c r="P161" s="9"/>
      <c r="Q161" s="9"/>
      <c r="R161" s="9"/>
      <c r="S161" s="9"/>
      <c r="T161" s="16" t="str">
        <f t="shared" si="30"/>
        <v/>
      </c>
      <c r="U161" s="16" t="str">
        <f t="shared" si="31"/>
        <v/>
      </c>
      <c r="V161" s="16"/>
      <c r="W161" s="16"/>
      <c r="X161" s="16"/>
      <c r="Y161" s="16"/>
      <c r="Z161" s="16" t="str">
        <f t="shared" si="32"/>
        <v/>
      </c>
      <c r="AA161" s="16" t="str">
        <f t="shared" si="33"/>
        <v/>
      </c>
      <c r="AB161" s="11" t="str">
        <f t="shared" si="34"/>
        <v/>
      </c>
      <c r="AC161" s="10"/>
      <c r="AD161" s="10"/>
      <c r="AE161" s="10"/>
      <c r="AF161" s="10"/>
      <c r="AG161" s="10"/>
    </row>
    <row r="162" spans="2:33">
      <c r="B162" s="10"/>
      <c r="M162" s="16"/>
      <c r="N162" s="16" t="str">
        <f t="shared" ref="N162:N193" si="35">IF(M162="","",M162*0.077)</f>
        <v/>
      </c>
      <c r="O162" s="16" t="str">
        <f t="shared" ref="O162:O193" si="36">IF(M162="","",M162-N162)</f>
        <v/>
      </c>
      <c r="P162" s="9"/>
      <c r="Q162" s="9"/>
      <c r="R162" s="9"/>
      <c r="S162" s="9"/>
      <c r="T162" s="16" t="str">
        <f t="shared" ref="T162:T193" si="37">IF(OR(Q162="",S162=""),"",IF(OR(R162="USD",R162="EUR",R162="GBP"),Q162*S162,Q162))</f>
        <v/>
      </c>
      <c r="U162" s="16" t="str">
        <f t="shared" ref="U162:U193" si="38">IF(T162="","",IF(ISNUMBER(SEARCH("MyUS",P162)),T162*0.08,0))</f>
        <v/>
      </c>
      <c r="V162" s="16"/>
      <c r="W162" s="16"/>
      <c r="X162" s="16"/>
      <c r="Y162" s="16"/>
      <c r="Z162" s="16" t="str">
        <f t="shared" ref="Z162:Z193" si="39">IF(T162="","",SUM(T162:Y162))</f>
        <v/>
      </c>
      <c r="AA162" s="16" t="str">
        <f t="shared" ref="AA162:AA193" si="40">IF(M162="","",O162-Z162)</f>
        <v/>
      </c>
      <c r="AB162" s="11" t="str">
        <f t="shared" ref="AB162:AB193" si="41">IF(M162="","",AA162/M162)</f>
        <v/>
      </c>
      <c r="AC162" s="10"/>
      <c r="AD162" s="10"/>
      <c r="AE162" s="10"/>
      <c r="AF162" s="10"/>
      <c r="AG162" s="10"/>
    </row>
    <row r="163" spans="2:33">
      <c r="B163" s="10"/>
      <c r="M163" s="16"/>
      <c r="N163" s="16" t="str">
        <f t="shared" si="35"/>
        <v/>
      </c>
      <c r="O163" s="16" t="str">
        <f t="shared" si="36"/>
        <v/>
      </c>
      <c r="P163" s="9"/>
      <c r="Q163" s="9"/>
      <c r="R163" s="9"/>
      <c r="S163" s="9"/>
      <c r="T163" s="16" t="str">
        <f t="shared" si="37"/>
        <v/>
      </c>
      <c r="U163" s="16" t="str">
        <f t="shared" si="38"/>
        <v/>
      </c>
      <c r="V163" s="16"/>
      <c r="W163" s="16"/>
      <c r="X163" s="16"/>
      <c r="Y163" s="16"/>
      <c r="Z163" s="16" t="str">
        <f t="shared" si="39"/>
        <v/>
      </c>
      <c r="AA163" s="16" t="str">
        <f t="shared" si="40"/>
        <v/>
      </c>
      <c r="AB163" s="11" t="str">
        <f t="shared" si="41"/>
        <v/>
      </c>
      <c r="AC163" s="10"/>
      <c r="AD163" s="10"/>
      <c r="AE163" s="10"/>
      <c r="AF163" s="10"/>
      <c r="AG163" s="10"/>
    </row>
    <row r="164" spans="2:33">
      <c r="B164" s="10"/>
      <c r="M164" s="16"/>
      <c r="N164" s="16" t="str">
        <f t="shared" si="35"/>
        <v/>
      </c>
      <c r="O164" s="16" t="str">
        <f t="shared" si="36"/>
        <v/>
      </c>
      <c r="P164" s="9"/>
      <c r="Q164" s="9"/>
      <c r="R164" s="9"/>
      <c r="S164" s="9"/>
      <c r="T164" s="16" t="str">
        <f t="shared" si="37"/>
        <v/>
      </c>
      <c r="U164" s="16" t="str">
        <f t="shared" si="38"/>
        <v/>
      </c>
      <c r="V164" s="16"/>
      <c r="W164" s="16"/>
      <c r="X164" s="16"/>
      <c r="Y164" s="16"/>
      <c r="Z164" s="16" t="str">
        <f t="shared" si="39"/>
        <v/>
      </c>
      <c r="AA164" s="16" t="str">
        <f t="shared" si="40"/>
        <v/>
      </c>
      <c r="AB164" s="11" t="str">
        <f t="shared" si="41"/>
        <v/>
      </c>
      <c r="AC164" s="10"/>
      <c r="AD164" s="10"/>
      <c r="AE164" s="10"/>
      <c r="AF164" s="10"/>
      <c r="AG164" s="10"/>
    </row>
    <row r="165" spans="2:33">
      <c r="B165" s="10"/>
      <c r="M165" s="16"/>
      <c r="N165" s="16" t="str">
        <f t="shared" si="35"/>
        <v/>
      </c>
      <c r="O165" s="16" t="str">
        <f t="shared" si="36"/>
        <v/>
      </c>
      <c r="P165" s="9"/>
      <c r="Q165" s="9"/>
      <c r="R165" s="9"/>
      <c r="S165" s="9"/>
      <c r="T165" s="16" t="str">
        <f t="shared" si="37"/>
        <v/>
      </c>
      <c r="U165" s="16" t="str">
        <f t="shared" si="38"/>
        <v/>
      </c>
      <c r="V165" s="16"/>
      <c r="W165" s="16"/>
      <c r="X165" s="16"/>
      <c r="Y165" s="16"/>
      <c r="Z165" s="16" t="str">
        <f t="shared" si="39"/>
        <v/>
      </c>
      <c r="AA165" s="16" t="str">
        <f t="shared" si="40"/>
        <v/>
      </c>
      <c r="AB165" s="11" t="str">
        <f t="shared" si="41"/>
        <v/>
      </c>
      <c r="AC165" s="10"/>
      <c r="AD165" s="10"/>
      <c r="AE165" s="10"/>
      <c r="AF165" s="10"/>
      <c r="AG165" s="10"/>
    </row>
    <row r="166" spans="2:33">
      <c r="B166" s="10"/>
      <c r="M166" s="16"/>
      <c r="N166" s="16" t="str">
        <f t="shared" si="35"/>
        <v/>
      </c>
      <c r="O166" s="16" t="str">
        <f t="shared" si="36"/>
        <v/>
      </c>
      <c r="P166" s="9"/>
      <c r="Q166" s="9"/>
      <c r="R166" s="9"/>
      <c r="S166" s="9"/>
      <c r="T166" s="16" t="str">
        <f t="shared" si="37"/>
        <v/>
      </c>
      <c r="U166" s="16" t="str">
        <f t="shared" si="38"/>
        <v/>
      </c>
      <c r="V166" s="16"/>
      <c r="W166" s="16"/>
      <c r="X166" s="16"/>
      <c r="Y166" s="16"/>
      <c r="Z166" s="16" t="str">
        <f t="shared" si="39"/>
        <v/>
      </c>
      <c r="AA166" s="16" t="str">
        <f t="shared" si="40"/>
        <v/>
      </c>
      <c r="AB166" s="11" t="str">
        <f t="shared" si="41"/>
        <v/>
      </c>
      <c r="AC166" s="10"/>
      <c r="AD166" s="10"/>
      <c r="AE166" s="10"/>
      <c r="AF166" s="10"/>
      <c r="AG166" s="10"/>
    </row>
    <row r="167" spans="2:33">
      <c r="B167" s="10"/>
      <c r="M167" s="16"/>
      <c r="N167" s="16" t="str">
        <f t="shared" si="35"/>
        <v/>
      </c>
      <c r="O167" s="16" t="str">
        <f t="shared" si="36"/>
        <v/>
      </c>
      <c r="P167" s="9"/>
      <c r="Q167" s="9"/>
      <c r="R167" s="9"/>
      <c r="S167" s="9"/>
      <c r="T167" s="16" t="str">
        <f t="shared" si="37"/>
        <v/>
      </c>
      <c r="U167" s="16" t="str">
        <f t="shared" si="38"/>
        <v/>
      </c>
      <c r="V167" s="16"/>
      <c r="W167" s="16"/>
      <c r="X167" s="16"/>
      <c r="Y167" s="16"/>
      <c r="Z167" s="16" t="str">
        <f t="shared" si="39"/>
        <v/>
      </c>
      <c r="AA167" s="16" t="str">
        <f t="shared" si="40"/>
        <v/>
      </c>
      <c r="AB167" s="11" t="str">
        <f t="shared" si="41"/>
        <v/>
      </c>
      <c r="AC167" s="10"/>
      <c r="AD167" s="10"/>
      <c r="AE167" s="10"/>
      <c r="AF167" s="10"/>
      <c r="AG167" s="10"/>
    </row>
    <row r="168" spans="2:33">
      <c r="B168" s="10"/>
      <c r="M168" s="16"/>
      <c r="N168" s="16" t="str">
        <f t="shared" si="35"/>
        <v/>
      </c>
      <c r="O168" s="16" t="str">
        <f t="shared" si="36"/>
        <v/>
      </c>
      <c r="P168" s="9"/>
      <c r="Q168" s="9"/>
      <c r="R168" s="9"/>
      <c r="S168" s="9"/>
      <c r="T168" s="16" t="str">
        <f t="shared" si="37"/>
        <v/>
      </c>
      <c r="U168" s="16" t="str">
        <f t="shared" si="38"/>
        <v/>
      </c>
      <c r="V168" s="16"/>
      <c r="W168" s="16"/>
      <c r="X168" s="16"/>
      <c r="Y168" s="16"/>
      <c r="Z168" s="16" t="str">
        <f t="shared" si="39"/>
        <v/>
      </c>
      <c r="AA168" s="16" t="str">
        <f t="shared" si="40"/>
        <v/>
      </c>
      <c r="AB168" s="11" t="str">
        <f t="shared" si="41"/>
        <v/>
      </c>
      <c r="AC168" s="10"/>
      <c r="AD168" s="10"/>
      <c r="AE168" s="10"/>
      <c r="AF168" s="10"/>
      <c r="AG168" s="10"/>
    </row>
    <row r="169" spans="2:33">
      <c r="B169" s="10"/>
      <c r="M169" s="16"/>
      <c r="N169" s="16" t="str">
        <f t="shared" si="35"/>
        <v/>
      </c>
      <c r="O169" s="16" t="str">
        <f t="shared" si="36"/>
        <v/>
      </c>
      <c r="P169" s="9"/>
      <c r="Q169" s="9"/>
      <c r="R169" s="9"/>
      <c r="S169" s="9"/>
      <c r="T169" s="16" t="str">
        <f t="shared" si="37"/>
        <v/>
      </c>
      <c r="U169" s="16" t="str">
        <f t="shared" si="38"/>
        <v/>
      </c>
      <c r="V169" s="16"/>
      <c r="W169" s="16"/>
      <c r="X169" s="16"/>
      <c r="Y169" s="16"/>
      <c r="Z169" s="16" t="str">
        <f t="shared" si="39"/>
        <v/>
      </c>
      <c r="AA169" s="16" t="str">
        <f t="shared" si="40"/>
        <v/>
      </c>
      <c r="AB169" s="11" t="str">
        <f t="shared" si="41"/>
        <v/>
      </c>
      <c r="AC169" s="10"/>
      <c r="AD169" s="10"/>
      <c r="AE169" s="10"/>
      <c r="AF169" s="10"/>
      <c r="AG169" s="10"/>
    </row>
    <row r="170" spans="2:33">
      <c r="B170" s="10"/>
      <c r="M170" s="16"/>
      <c r="N170" s="16" t="str">
        <f t="shared" si="35"/>
        <v/>
      </c>
      <c r="O170" s="16" t="str">
        <f t="shared" si="36"/>
        <v/>
      </c>
      <c r="P170" s="9"/>
      <c r="Q170" s="9"/>
      <c r="R170" s="9"/>
      <c r="S170" s="9"/>
      <c r="T170" s="16" t="str">
        <f t="shared" si="37"/>
        <v/>
      </c>
      <c r="U170" s="16" t="str">
        <f t="shared" si="38"/>
        <v/>
      </c>
      <c r="V170" s="16"/>
      <c r="W170" s="16"/>
      <c r="X170" s="16"/>
      <c r="Y170" s="16"/>
      <c r="Z170" s="16" t="str">
        <f t="shared" si="39"/>
        <v/>
      </c>
      <c r="AA170" s="16" t="str">
        <f t="shared" si="40"/>
        <v/>
      </c>
      <c r="AB170" s="11" t="str">
        <f t="shared" si="41"/>
        <v/>
      </c>
      <c r="AC170" s="10"/>
      <c r="AD170" s="10"/>
      <c r="AE170" s="10"/>
      <c r="AF170" s="10"/>
      <c r="AG170" s="10"/>
    </row>
    <row r="171" spans="2:33">
      <c r="B171" s="10"/>
      <c r="M171" s="16"/>
      <c r="N171" s="16" t="str">
        <f t="shared" si="35"/>
        <v/>
      </c>
      <c r="O171" s="16" t="str">
        <f t="shared" si="36"/>
        <v/>
      </c>
      <c r="P171" s="9"/>
      <c r="Q171" s="9"/>
      <c r="R171" s="9"/>
      <c r="S171" s="9"/>
      <c r="T171" s="16" t="str">
        <f t="shared" si="37"/>
        <v/>
      </c>
      <c r="U171" s="16" t="str">
        <f t="shared" si="38"/>
        <v/>
      </c>
      <c r="V171" s="16"/>
      <c r="W171" s="16"/>
      <c r="X171" s="16"/>
      <c r="Y171" s="16"/>
      <c r="Z171" s="16" t="str">
        <f t="shared" si="39"/>
        <v/>
      </c>
      <c r="AA171" s="16" t="str">
        <f t="shared" si="40"/>
        <v/>
      </c>
      <c r="AB171" s="11" t="str">
        <f t="shared" si="41"/>
        <v/>
      </c>
      <c r="AC171" s="10"/>
      <c r="AD171" s="10"/>
      <c r="AE171" s="10"/>
      <c r="AF171" s="10"/>
      <c r="AG171" s="10"/>
    </row>
    <row r="172" spans="2:33">
      <c r="B172" s="10"/>
      <c r="M172" s="16"/>
      <c r="N172" s="16" t="str">
        <f t="shared" si="35"/>
        <v/>
      </c>
      <c r="O172" s="16" t="str">
        <f t="shared" si="36"/>
        <v/>
      </c>
      <c r="P172" s="9"/>
      <c r="Q172" s="9"/>
      <c r="R172" s="9"/>
      <c r="S172" s="9"/>
      <c r="T172" s="16" t="str">
        <f t="shared" si="37"/>
        <v/>
      </c>
      <c r="U172" s="16" t="str">
        <f t="shared" si="38"/>
        <v/>
      </c>
      <c r="V172" s="16"/>
      <c r="W172" s="16"/>
      <c r="X172" s="16"/>
      <c r="Y172" s="16"/>
      <c r="Z172" s="16" t="str">
        <f t="shared" si="39"/>
        <v/>
      </c>
      <c r="AA172" s="16" t="str">
        <f t="shared" si="40"/>
        <v/>
      </c>
      <c r="AB172" s="11" t="str">
        <f t="shared" si="41"/>
        <v/>
      </c>
      <c r="AC172" s="10"/>
      <c r="AD172" s="10"/>
      <c r="AE172" s="10"/>
      <c r="AF172" s="10"/>
      <c r="AG172" s="10"/>
    </row>
    <row r="173" spans="2:33">
      <c r="B173" s="10"/>
      <c r="M173" s="16"/>
      <c r="N173" s="16" t="str">
        <f t="shared" si="35"/>
        <v/>
      </c>
      <c r="O173" s="16" t="str">
        <f t="shared" si="36"/>
        <v/>
      </c>
      <c r="P173" s="9"/>
      <c r="Q173" s="9"/>
      <c r="R173" s="9"/>
      <c r="S173" s="9"/>
      <c r="T173" s="16" t="str">
        <f t="shared" si="37"/>
        <v/>
      </c>
      <c r="U173" s="16" t="str">
        <f t="shared" si="38"/>
        <v/>
      </c>
      <c r="V173" s="16"/>
      <c r="W173" s="16"/>
      <c r="X173" s="16"/>
      <c r="Y173" s="16"/>
      <c r="Z173" s="16" t="str">
        <f t="shared" si="39"/>
        <v/>
      </c>
      <c r="AA173" s="16" t="str">
        <f t="shared" si="40"/>
        <v/>
      </c>
      <c r="AB173" s="11" t="str">
        <f t="shared" si="41"/>
        <v/>
      </c>
      <c r="AC173" s="10"/>
      <c r="AD173" s="10"/>
      <c r="AE173" s="10"/>
      <c r="AF173" s="10"/>
      <c r="AG173" s="10"/>
    </row>
    <row r="174" spans="2:33">
      <c r="B174" s="10"/>
      <c r="M174" s="16"/>
      <c r="N174" s="16" t="str">
        <f t="shared" si="35"/>
        <v/>
      </c>
      <c r="O174" s="16" t="str">
        <f t="shared" si="36"/>
        <v/>
      </c>
      <c r="P174" s="9"/>
      <c r="Q174" s="9"/>
      <c r="R174" s="9"/>
      <c r="S174" s="9"/>
      <c r="T174" s="16" t="str">
        <f t="shared" si="37"/>
        <v/>
      </c>
      <c r="U174" s="16" t="str">
        <f t="shared" si="38"/>
        <v/>
      </c>
      <c r="V174" s="16"/>
      <c r="W174" s="16"/>
      <c r="X174" s="16"/>
      <c r="Y174" s="16"/>
      <c r="Z174" s="16" t="str">
        <f t="shared" si="39"/>
        <v/>
      </c>
      <c r="AA174" s="16" t="str">
        <f t="shared" si="40"/>
        <v/>
      </c>
      <c r="AB174" s="11" t="str">
        <f t="shared" si="41"/>
        <v/>
      </c>
      <c r="AC174" s="10"/>
      <c r="AD174" s="10"/>
      <c r="AE174" s="10"/>
      <c r="AF174" s="10"/>
      <c r="AG174" s="10"/>
    </row>
    <row r="175" spans="2:33">
      <c r="B175" s="10"/>
      <c r="M175" s="16"/>
      <c r="N175" s="16" t="str">
        <f t="shared" si="35"/>
        <v/>
      </c>
      <c r="O175" s="16" t="str">
        <f t="shared" si="36"/>
        <v/>
      </c>
      <c r="P175" s="9"/>
      <c r="Q175" s="9"/>
      <c r="R175" s="9"/>
      <c r="S175" s="9"/>
      <c r="T175" s="16" t="str">
        <f t="shared" si="37"/>
        <v/>
      </c>
      <c r="U175" s="16" t="str">
        <f t="shared" si="38"/>
        <v/>
      </c>
      <c r="V175" s="16"/>
      <c r="W175" s="16"/>
      <c r="X175" s="16"/>
      <c r="Y175" s="16"/>
      <c r="Z175" s="16" t="str">
        <f t="shared" si="39"/>
        <v/>
      </c>
      <c r="AA175" s="16" t="str">
        <f t="shared" si="40"/>
        <v/>
      </c>
      <c r="AB175" s="11" t="str">
        <f t="shared" si="41"/>
        <v/>
      </c>
      <c r="AC175" s="10"/>
      <c r="AD175" s="10"/>
      <c r="AE175" s="10"/>
      <c r="AF175" s="10"/>
      <c r="AG175" s="10"/>
    </row>
    <row r="176" spans="2:33">
      <c r="B176" s="10"/>
      <c r="M176" s="16"/>
      <c r="N176" s="16" t="str">
        <f t="shared" si="35"/>
        <v/>
      </c>
      <c r="O176" s="16" t="str">
        <f t="shared" si="36"/>
        <v/>
      </c>
      <c r="P176" s="9"/>
      <c r="Q176" s="9"/>
      <c r="R176" s="9"/>
      <c r="S176" s="9"/>
      <c r="T176" s="16" t="str">
        <f t="shared" si="37"/>
        <v/>
      </c>
      <c r="U176" s="16" t="str">
        <f t="shared" si="38"/>
        <v/>
      </c>
      <c r="V176" s="16"/>
      <c r="W176" s="16"/>
      <c r="X176" s="16"/>
      <c r="Y176" s="16"/>
      <c r="Z176" s="16" t="str">
        <f t="shared" si="39"/>
        <v/>
      </c>
      <c r="AA176" s="16" t="str">
        <f t="shared" si="40"/>
        <v/>
      </c>
      <c r="AB176" s="11" t="str">
        <f t="shared" si="41"/>
        <v/>
      </c>
      <c r="AC176" s="10"/>
      <c r="AD176" s="10"/>
      <c r="AE176" s="10"/>
      <c r="AF176" s="10"/>
      <c r="AG176" s="10"/>
    </row>
    <row r="177" spans="2:33">
      <c r="B177" s="10"/>
      <c r="M177" s="16"/>
      <c r="N177" s="16" t="str">
        <f t="shared" si="35"/>
        <v/>
      </c>
      <c r="O177" s="16" t="str">
        <f t="shared" si="36"/>
        <v/>
      </c>
      <c r="P177" s="9"/>
      <c r="Q177" s="9"/>
      <c r="R177" s="9"/>
      <c r="S177" s="9"/>
      <c r="T177" s="16" t="str">
        <f t="shared" si="37"/>
        <v/>
      </c>
      <c r="U177" s="16" t="str">
        <f t="shared" si="38"/>
        <v/>
      </c>
      <c r="V177" s="16"/>
      <c r="W177" s="16"/>
      <c r="X177" s="16"/>
      <c r="Y177" s="16"/>
      <c r="Z177" s="16" t="str">
        <f t="shared" si="39"/>
        <v/>
      </c>
      <c r="AA177" s="16" t="str">
        <f t="shared" si="40"/>
        <v/>
      </c>
      <c r="AB177" s="11" t="str">
        <f t="shared" si="41"/>
        <v/>
      </c>
      <c r="AC177" s="10"/>
      <c r="AD177" s="10"/>
      <c r="AE177" s="10"/>
      <c r="AF177" s="10"/>
      <c r="AG177" s="10"/>
    </row>
    <row r="178" spans="2:33">
      <c r="B178" s="10"/>
      <c r="M178" s="16"/>
      <c r="N178" s="16" t="str">
        <f t="shared" si="35"/>
        <v/>
      </c>
      <c r="O178" s="16" t="str">
        <f t="shared" si="36"/>
        <v/>
      </c>
      <c r="P178" s="9"/>
      <c r="Q178" s="9"/>
      <c r="R178" s="9"/>
      <c r="S178" s="9"/>
      <c r="T178" s="16" t="str">
        <f t="shared" si="37"/>
        <v/>
      </c>
      <c r="U178" s="16" t="str">
        <f t="shared" si="38"/>
        <v/>
      </c>
      <c r="V178" s="16"/>
      <c r="W178" s="16"/>
      <c r="X178" s="16"/>
      <c r="Y178" s="16"/>
      <c r="Z178" s="16" t="str">
        <f t="shared" si="39"/>
        <v/>
      </c>
      <c r="AA178" s="16" t="str">
        <f t="shared" si="40"/>
        <v/>
      </c>
      <c r="AB178" s="11" t="str">
        <f t="shared" si="41"/>
        <v/>
      </c>
      <c r="AC178" s="10"/>
      <c r="AD178" s="10"/>
      <c r="AE178" s="10"/>
      <c r="AF178" s="10"/>
      <c r="AG178" s="10"/>
    </row>
    <row r="179" spans="2:33">
      <c r="B179" s="10"/>
      <c r="M179" s="16"/>
      <c r="N179" s="16" t="str">
        <f t="shared" si="35"/>
        <v/>
      </c>
      <c r="O179" s="16" t="str">
        <f t="shared" si="36"/>
        <v/>
      </c>
      <c r="P179" s="9"/>
      <c r="Q179" s="9"/>
      <c r="R179" s="9"/>
      <c r="S179" s="9"/>
      <c r="T179" s="16" t="str">
        <f t="shared" si="37"/>
        <v/>
      </c>
      <c r="U179" s="16" t="str">
        <f t="shared" si="38"/>
        <v/>
      </c>
      <c r="V179" s="16"/>
      <c r="W179" s="16"/>
      <c r="X179" s="16"/>
      <c r="Y179" s="16"/>
      <c r="Z179" s="16" t="str">
        <f t="shared" si="39"/>
        <v/>
      </c>
      <c r="AA179" s="16" t="str">
        <f t="shared" si="40"/>
        <v/>
      </c>
      <c r="AB179" s="11" t="str">
        <f t="shared" si="41"/>
        <v/>
      </c>
      <c r="AC179" s="10"/>
      <c r="AD179" s="10"/>
      <c r="AE179" s="10"/>
      <c r="AF179" s="10"/>
      <c r="AG179" s="10"/>
    </row>
    <row r="180" spans="2:33">
      <c r="B180" s="10"/>
      <c r="M180" s="16"/>
      <c r="N180" s="16" t="str">
        <f t="shared" si="35"/>
        <v/>
      </c>
      <c r="O180" s="16" t="str">
        <f t="shared" si="36"/>
        <v/>
      </c>
      <c r="P180" s="9"/>
      <c r="Q180" s="9"/>
      <c r="R180" s="9"/>
      <c r="S180" s="9"/>
      <c r="T180" s="16" t="str">
        <f t="shared" si="37"/>
        <v/>
      </c>
      <c r="U180" s="16" t="str">
        <f t="shared" si="38"/>
        <v/>
      </c>
      <c r="V180" s="16"/>
      <c r="W180" s="16"/>
      <c r="X180" s="16"/>
      <c r="Y180" s="16"/>
      <c r="Z180" s="16" t="str">
        <f t="shared" si="39"/>
        <v/>
      </c>
      <c r="AA180" s="16" t="str">
        <f t="shared" si="40"/>
        <v/>
      </c>
      <c r="AB180" s="11" t="str">
        <f t="shared" si="41"/>
        <v/>
      </c>
      <c r="AC180" s="10"/>
      <c r="AD180" s="10"/>
      <c r="AE180" s="10"/>
      <c r="AF180" s="10"/>
      <c r="AG180" s="10"/>
    </row>
    <row r="181" spans="2:33">
      <c r="B181" s="10"/>
      <c r="M181" s="16"/>
      <c r="N181" s="16" t="str">
        <f t="shared" si="35"/>
        <v/>
      </c>
      <c r="O181" s="16" t="str">
        <f t="shared" si="36"/>
        <v/>
      </c>
      <c r="P181" s="9"/>
      <c r="Q181" s="9"/>
      <c r="R181" s="9"/>
      <c r="S181" s="9"/>
      <c r="T181" s="16" t="str">
        <f t="shared" si="37"/>
        <v/>
      </c>
      <c r="U181" s="16" t="str">
        <f t="shared" si="38"/>
        <v/>
      </c>
      <c r="V181" s="16"/>
      <c r="W181" s="16"/>
      <c r="X181" s="16"/>
      <c r="Y181" s="16"/>
      <c r="Z181" s="16" t="str">
        <f t="shared" si="39"/>
        <v/>
      </c>
      <c r="AA181" s="16" t="str">
        <f t="shared" si="40"/>
        <v/>
      </c>
      <c r="AB181" s="11" t="str">
        <f t="shared" si="41"/>
        <v/>
      </c>
      <c r="AC181" s="10"/>
      <c r="AD181" s="10"/>
      <c r="AE181" s="10"/>
      <c r="AF181" s="10"/>
      <c r="AG181" s="10"/>
    </row>
    <row r="182" spans="2:33">
      <c r="B182" s="10"/>
      <c r="M182" s="16"/>
      <c r="N182" s="16" t="str">
        <f t="shared" si="35"/>
        <v/>
      </c>
      <c r="O182" s="16" t="str">
        <f t="shared" si="36"/>
        <v/>
      </c>
      <c r="P182" s="9"/>
      <c r="Q182" s="9"/>
      <c r="R182" s="9"/>
      <c r="S182" s="9"/>
      <c r="T182" s="16" t="str">
        <f t="shared" si="37"/>
        <v/>
      </c>
      <c r="U182" s="16" t="str">
        <f t="shared" si="38"/>
        <v/>
      </c>
      <c r="V182" s="16"/>
      <c r="W182" s="16"/>
      <c r="X182" s="16"/>
      <c r="Y182" s="16"/>
      <c r="Z182" s="16" t="str">
        <f t="shared" si="39"/>
        <v/>
      </c>
      <c r="AA182" s="16" t="str">
        <f t="shared" si="40"/>
        <v/>
      </c>
      <c r="AB182" s="11" t="str">
        <f t="shared" si="41"/>
        <v/>
      </c>
      <c r="AC182" s="10"/>
      <c r="AD182" s="10"/>
      <c r="AE182" s="10"/>
      <c r="AF182" s="10"/>
      <c r="AG182" s="10"/>
    </row>
    <row r="183" spans="2:33">
      <c r="B183" s="10"/>
      <c r="M183" s="16"/>
      <c r="N183" s="16" t="str">
        <f t="shared" si="35"/>
        <v/>
      </c>
      <c r="O183" s="16" t="str">
        <f t="shared" si="36"/>
        <v/>
      </c>
      <c r="P183" s="9"/>
      <c r="Q183" s="9"/>
      <c r="R183" s="9"/>
      <c r="S183" s="9"/>
      <c r="T183" s="16" t="str">
        <f t="shared" si="37"/>
        <v/>
      </c>
      <c r="U183" s="16" t="str">
        <f t="shared" si="38"/>
        <v/>
      </c>
      <c r="V183" s="16"/>
      <c r="W183" s="16"/>
      <c r="X183" s="16"/>
      <c r="Y183" s="16"/>
      <c r="Z183" s="16" t="str">
        <f t="shared" si="39"/>
        <v/>
      </c>
      <c r="AA183" s="16" t="str">
        <f t="shared" si="40"/>
        <v/>
      </c>
      <c r="AB183" s="11" t="str">
        <f t="shared" si="41"/>
        <v/>
      </c>
      <c r="AC183" s="10"/>
      <c r="AD183" s="10"/>
      <c r="AE183" s="10"/>
      <c r="AF183" s="10"/>
      <c r="AG183" s="10"/>
    </row>
    <row r="184" spans="2:33">
      <c r="B184" s="10"/>
      <c r="M184" s="16"/>
      <c r="N184" s="16" t="str">
        <f t="shared" si="35"/>
        <v/>
      </c>
      <c r="O184" s="16" t="str">
        <f t="shared" si="36"/>
        <v/>
      </c>
      <c r="P184" s="9"/>
      <c r="Q184" s="9"/>
      <c r="R184" s="9"/>
      <c r="S184" s="9"/>
      <c r="T184" s="16" t="str">
        <f t="shared" si="37"/>
        <v/>
      </c>
      <c r="U184" s="16" t="str">
        <f t="shared" si="38"/>
        <v/>
      </c>
      <c r="V184" s="16"/>
      <c r="W184" s="16"/>
      <c r="X184" s="16"/>
      <c r="Y184" s="16"/>
      <c r="Z184" s="16" t="str">
        <f t="shared" si="39"/>
        <v/>
      </c>
      <c r="AA184" s="16" t="str">
        <f t="shared" si="40"/>
        <v/>
      </c>
      <c r="AB184" s="11" t="str">
        <f t="shared" si="41"/>
        <v/>
      </c>
      <c r="AC184" s="10"/>
      <c r="AD184" s="10"/>
      <c r="AE184" s="10"/>
      <c r="AF184" s="10"/>
      <c r="AG184" s="10"/>
    </row>
    <row r="185" spans="2:33">
      <c r="B185" s="10"/>
      <c r="M185" s="16"/>
      <c r="N185" s="16" t="str">
        <f t="shared" si="35"/>
        <v/>
      </c>
      <c r="O185" s="16" t="str">
        <f t="shared" si="36"/>
        <v/>
      </c>
      <c r="P185" s="9"/>
      <c r="Q185" s="9"/>
      <c r="R185" s="9"/>
      <c r="S185" s="9"/>
      <c r="T185" s="16" t="str">
        <f t="shared" si="37"/>
        <v/>
      </c>
      <c r="U185" s="16" t="str">
        <f t="shared" si="38"/>
        <v/>
      </c>
      <c r="V185" s="16"/>
      <c r="W185" s="16"/>
      <c r="X185" s="16"/>
      <c r="Y185" s="16"/>
      <c r="Z185" s="16" t="str">
        <f t="shared" si="39"/>
        <v/>
      </c>
      <c r="AA185" s="16" t="str">
        <f t="shared" si="40"/>
        <v/>
      </c>
      <c r="AB185" s="11" t="str">
        <f t="shared" si="41"/>
        <v/>
      </c>
      <c r="AC185" s="10"/>
      <c r="AD185" s="10"/>
      <c r="AE185" s="10"/>
      <c r="AF185" s="10"/>
      <c r="AG185" s="10"/>
    </row>
    <row r="186" spans="2:33">
      <c r="B186" s="10"/>
      <c r="M186" s="16"/>
      <c r="N186" s="16" t="str">
        <f t="shared" si="35"/>
        <v/>
      </c>
      <c r="O186" s="16" t="str">
        <f t="shared" si="36"/>
        <v/>
      </c>
      <c r="P186" s="9"/>
      <c r="Q186" s="9"/>
      <c r="R186" s="9"/>
      <c r="S186" s="9"/>
      <c r="T186" s="16" t="str">
        <f t="shared" si="37"/>
        <v/>
      </c>
      <c r="U186" s="16" t="str">
        <f t="shared" si="38"/>
        <v/>
      </c>
      <c r="V186" s="16"/>
      <c r="W186" s="16"/>
      <c r="X186" s="16"/>
      <c r="Y186" s="16"/>
      <c r="Z186" s="16" t="str">
        <f t="shared" si="39"/>
        <v/>
      </c>
      <c r="AA186" s="16" t="str">
        <f t="shared" si="40"/>
        <v/>
      </c>
      <c r="AB186" s="11" t="str">
        <f t="shared" si="41"/>
        <v/>
      </c>
      <c r="AC186" s="10"/>
      <c r="AD186" s="10"/>
      <c r="AE186" s="10"/>
      <c r="AF186" s="10"/>
      <c r="AG186" s="10"/>
    </row>
    <row r="187" spans="2:33">
      <c r="B187" s="10"/>
      <c r="M187" s="16"/>
      <c r="N187" s="16" t="str">
        <f t="shared" si="35"/>
        <v/>
      </c>
      <c r="O187" s="16" t="str">
        <f t="shared" si="36"/>
        <v/>
      </c>
      <c r="P187" s="9"/>
      <c r="Q187" s="9"/>
      <c r="R187" s="9"/>
      <c r="S187" s="9"/>
      <c r="T187" s="16" t="str">
        <f t="shared" si="37"/>
        <v/>
      </c>
      <c r="U187" s="16" t="str">
        <f t="shared" si="38"/>
        <v/>
      </c>
      <c r="V187" s="16"/>
      <c r="W187" s="16"/>
      <c r="X187" s="16"/>
      <c r="Y187" s="16"/>
      <c r="Z187" s="16" t="str">
        <f t="shared" si="39"/>
        <v/>
      </c>
      <c r="AA187" s="16" t="str">
        <f t="shared" si="40"/>
        <v/>
      </c>
      <c r="AB187" s="11" t="str">
        <f t="shared" si="41"/>
        <v/>
      </c>
      <c r="AC187" s="10"/>
      <c r="AD187" s="10"/>
      <c r="AE187" s="10"/>
      <c r="AF187" s="10"/>
      <c r="AG187" s="10"/>
    </row>
    <row r="188" spans="2:33">
      <c r="B188" s="10"/>
      <c r="M188" s="16"/>
      <c r="N188" s="16" t="str">
        <f t="shared" si="35"/>
        <v/>
      </c>
      <c r="O188" s="16" t="str">
        <f t="shared" si="36"/>
        <v/>
      </c>
      <c r="P188" s="9"/>
      <c r="Q188" s="9"/>
      <c r="R188" s="9"/>
      <c r="S188" s="9"/>
      <c r="T188" s="16" t="str">
        <f t="shared" si="37"/>
        <v/>
      </c>
      <c r="U188" s="16" t="str">
        <f t="shared" si="38"/>
        <v/>
      </c>
      <c r="V188" s="16"/>
      <c r="W188" s="16"/>
      <c r="X188" s="16"/>
      <c r="Y188" s="16"/>
      <c r="Z188" s="16" t="str">
        <f t="shared" si="39"/>
        <v/>
      </c>
      <c r="AA188" s="16" t="str">
        <f t="shared" si="40"/>
        <v/>
      </c>
      <c r="AB188" s="11" t="str">
        <f t="shared" si="41"/>
        <v/>
      </c>
      <c r="AC188" s="10"/>
      <c r="AD188" s="10"/>
      <c r="AE188" s="10"/>
      <c r="AF188" s="10"/>
      <c r="AG188" s="10"/>
    </row>
    <row r="189" spans="2:33">
      <c r="B189" s="10"/>
      <c r="M189" s="16"/>
      <c r="N189" s="16" t="str">
        <f t="shared" si="35"/>
        <v/>
      </c>
      <c r="O189" s="16" t="str">
        <f t="shared" si="36"/>
        <v/>
      </c>
      <c r="P189" s="9"/>
      <c r="Q189" s="9"/>
      <c r="R189" s="9"/>
      <c r="S189" s="9"/>
      <c r="T189" s="16" t="str">
        <f t="shared" si="37"/>
        <v/>
      </c>
      <c r="U189" s="16" t="str">
        <f t="shared" si="38"/>
        <v/>
      </c>
      <c r="V189" s="16"/>
      <c r="W189" s="16"/>
      <c r="X189" s="16"/>
      <c r="Y189" s="16"/>
      <c r="Z189" s="16" t="str">
        <f t="shared" si="39"/>
        <v/>
      </c>
      <c r="AA189" s="16" t="str">
        <f t="shared" si="40"/>
        <v/>
      </c>
      <c r="AB189" s="11" t="str">
        <f t="shared" si="41"/>
        <v/>
      </c>
      <c r="AC189" s="10"/>
      <c r="AD189" s="10"/>
      <c r="AE189" s="10"/>
      <c r="AF189" s="10"/>
      <c r="AG189" s="10"/>
    </row>
    <row r="190" spans="2:33">
      <c r="B190" s="10"/>
      <c r="M190" s="16"/>
      <c r="N190" s="16" t="str">
        <f t="shared" si="35"/>
        <v/>
      </c>
      <c r="O190" s="16" t="str">
        <f t="shared" si="36"/>
        <v/>
      </c>
      <c r="P190" s="9"/>
      <c r="Q190" s="9"/>
      <c r="R190" s="9"/>
      <c r="S190" s="9"/>
      <c r="T190" s="16" t="str">
        <f t="shared" si="37"/>
        <v/>
      </c>
      <c r="U190" s="16" t="str">
        <f t="shared" si="38"/>
        <v/>
      </c>
      <c r="V190" s="16"/>
      <c r="W190" s="16"/>
      <c r="X190" s="16"/>
      <c r="Y190" s="16"/>
      <c r="Z190" s="16" t="str">
        <f t="shared" si="39"/>
        <v/>
      </c>
      <c r="AA190" s="16" t="str">
        <f t="shared" si="40"/>
        <v/>
      </c>
      <c r="AB190" s="11" t="str">
        <f t="shared" si="41"/>
        <v/>
      </c>
      <c r="AC190" s="10"/>
      <c r="AD190" s="10"/>
      <c r="AE190" s="10"/>
      <c r="AF190" s="10"/>
      <c r="AG190" s="10"/>
    </row>
    <row r="191" spans="2:33">
      <c r="B191" s="10"/>
      <c r="M191" s="16"/>
      <c r="N191" s="16" t="str">
        <f t="shared" si="35"/>
        <v/>
      </c>
      <c r="O191" s="16" t="str">
        <f t="shared" si="36"/>
        <v/>
      </c>
      <c r="P191" s="9"/>
      <c r="Q191" s="9"/>
      <c r="R191" s="9"/>
      <c r="S191" s="9"/>
      <c r="T191" s="16" t="str">
        <f t="shared" si="37"/>
        <v/>
      </c>
      <c r="U191" s="16" t="str">
        <f t="shared" si="38"/>
        <v/>
      </c>
      <c r="V191" s="16"/>
      <c r="W191" s="16"/>
      <c r="X191" s="16"/>
      <c r="Y191" s="16"/>
      <c r="Z191" s="16" t="str">
        <f t="shared" si="39"/>
        <v/>
      </c>
      <c r="AA191" s="16" t="str">
        <f t="shared" si="40"/>
        <v/>
      </c>
      <c r="AB191" s="11" t="str">
        <f t="shared" si="41"/>
        <v/>
      </c>
      <c r="AC191" s="10"/>
      <c r="AD191" s="10"/>
      <c r="AE191" s="10"/>
      <c r="AF191" s="10"/>
      <c r="AG191" s="10"/>
    </row>
    <row r="192" spans="2:33">
      <c r="B192" s="10"/>
      <c r="M192" s="16"/>
      <c r="N192" s="16" t="str">
        <f t="shared" si="35"/>
        <v/>
      </c>
      <c r="O192" s="16" t="str">
        <f t="shared" si="36"/>
        <v/>
      </c>
      <c r="P192" s="9"/>
      <c r="Q192" s="9"/>
      <c r="R192" s="9"/>
      <c r="S192" s="9"/>
      <c r="T192" s="16" t="str">
        <f t="shared" si="37"/>
        <v/>
      </c>
      <c r="U192" s="16" t="str">
        <f t="shared" si="38"/>
        <v/>
      </c>
      <c r="V192" s="16"/>
      <c r="W192" s="16"/>
      <c r="X192" s="16"/>
      <c r="Y192" s="16"/>
      <c r="Z192" s="16" t="str">
        <f t="shared" si="39"/>
        <v/>
      </c>
      <c r="AA192" s="16" t="str">
        <f t="shared" si="40"/>
        <v/>
      </c>
      <c r="AB192" s="11" t="str">
        <f t="shared" si="41"/>
        <v/>
      </c>
      <c r="AC192" s="10"/>
      <c r="AD192" s="10"/>
      <c r="AE192" s="10"/>
      <c r="AF192" s="10"/>
      <c r="AG192" s="10"/>
    </row>
    <row r="193" spans="2:33">
      <c r="B193" s="10"/>
      <c r="M193" s="16"/>
      <c r="N193" s="16" t="str">
        <f t="shared" si="35"/>
        <v/>
      </c>
      <c r="O193" s="16" t="str">
        <f t="shared" si="36"/>
        <v/>
      </c>
      <c r="P193" s="9"/>
      <c r="Q193" s="9"/>
      <c r="R193" s="9"/>
      <c r="S193" s="9"/>
      <c r="T193" s="16" t="str">
        <f t="shared" si="37"/>
        <v/>
      </c>
      <c r="U193" s="16" t="str">
        <f t="shared" si="38"/>
        <v/>
      </c>
      <c r="V193" s="16"/>
      <c r="W193" s="16"/>
      <c r="X193" s="16"/>
      <c r="Y193" s="16"/>
      <c r="Z193" s="16" t="str">
        <f t="shared" si="39"/>
        <v/>
      </c>
      <c r="AA193" s="16" t="str">
        <f t="shared" si="40"/>
        <v/>
      </c>
      <c r="AB193" s="11" t="str">
        <f t="shared" si="41"/>
        <v/>
      </c>
      <c r="AC193" s="10"/>
      <c r="AD193" s="10"/>
      <c r="AE193" s="10"/>
      <c r="AF193" s="10"/>
      <c r="AG193" s="10"/>
    </row>
    <row r="194" spans="2:33">
      <c r="B194" s="10"/>
      <c r="M194" s="16"/>
      <c r="N194" s="16" t="str">
        <f t="shared" ref="N194:N225" si="42">IF(M194="","",M194*0.077)</f>
        <v/>
      </c>
      <c r="O194" s="16" t="str">
        <f t="shared" ref="O194:O225" si="43">IF(M194="","",M194-N194)</f>
        <v/>
      </c>
      <c r="P194" s="9"/>
      <c r="Q194" s="9"/>
      <c r="R194" s="9"/>
      <c r="S194" s="9"/>
      <c r="T194" s="16" t="str">
        <f t="shared" ref="T194:T225" si="44">IF(OR(Q194="",S194=""),"",IF(OR(R194="USD",R194="EUR",R194="GBP"),Q194*S194,Q194))</f>
        <v/>
      </c>
      <c r="U194" s="16" t="str">
        <f t="shared" ref="U194:U225" si="45">IF(T194="","",IF(ISNUMBER(SEARCH("MyUS",P194)),T194*0.08,0))</f>
        <v/>
      </c>
      <c r="V194" s="16"/>
      <c r="W194" s="16"/>
      <c r="X194" s="16"/>
      <c r="Y194" s="16"/>
      <c r="Z194" s="16" t="str">
        <f t="shared" ref="Z194:Z225" si="46">IF(T194="","",SUM(T194:Y194))</f>
        <v/>
      </c>
      <c r="AA194" s="16" t="str">
        <f t="shared" ref="AA194:AA225" si="47">IF(M194="","",O194-Z194)</f>
        <v/>
      </c>
      <c r="AB194" s="11" t="str">
        <f t="shared" ref="AB194:AB225" si="48">IF(M194="","",AA194/M194)</f>
        <v/>
      </c>
      <c r="AC194" s="10"/>
      <c r="AD194" s="10"/>
      <c r="AE194" s="10"/>
      <c r="AF194" s="10"/>
      <c r="AG194" s="10"/>
    </row>
    <row r="195" spans="2:33">
      <c r="B195" s="10"/>
      <c r="M195" s="16"/>
      <c r="N195" s="16" t="str">
        <f t="shared" si="42"/>
        <v/>
      </c>
      <c r="O195" s="16" t="str">
        <f t="shared" si="43"/>
        <v/>
      </c>
      <c r="P195" s="9"/>
      <c r="Q195" s="9"/>
      <c r="R195" s="9"/>
      <c r="S195" s="9"/>
      <c r="T195" s="16" t="str">
        <f t="shared" si="44"/>
        <v/>
      </c>
      <c r="U195" s="16" t="str">
        <f t="shared" si="45"/>
        <v/>
      </c>
      <c r="V195" s="16"/>
      <c r="W195" s="16"/>
      <c r="X195" s="16"/>
      <c r="Y195" s="16"/>
      <c r="Z195" s="16" t="str">
        <f t="shared" si="46"/>
        <v/>
      </c>
      <c r="AA195" s="16" t="str">
        <f t="shared" si="47"/>
        <v/>
      </c>
      <c r="AB195" s="11" t="str">
        <f t="shared" si="48"/>
        <v/>
      </c>
      <c r="AC195" s="10"/>
      <c r="AD195" s="10"/>
      <c r="AE195" s="10"/>
      <c r="AF195" s="10"/>
      <c r="AG195" s="10"/>
    </row>
    <row r="196" spans="2:33">
      <c r="B196" s="10"/>
      <c r="M196" s="16"/>
      <c r="N196" s="16" t="str">
        <f t="shared" si="42"/>
        <v/>
      </c>
      <c r="O196" s="16" t="str">
        <f t="shared" si="43"/>
        <v/>
      </c>
      <c r="P196" s="9"/>
      <c r="Q196" s="9"/>
      <c r="R196" s="9"/>
      <c r="S196" s="9"/>
      <c r="T196" s="16" t="str">
        <f t="shared" si="44"/>
        <v/>
      </c>
      <c r="U196" s="16" t="str">
        <f t="shared" si="45"/>
        <v/>
      </c>
      <c r="V196" s="16"/>
      <c r="W196" s="16"/>
      <c r="X196" s="16"/>
      <c r="Y196" s="16"/>
      <c r="Z196" s="16" t="str">
        <f t="shared" si="46"/>
        <v/>
      </c>
      <c r="AA196" s="16" t="str">
        <f t="shared" si="47"/>
        <v/>
      </c>
      <c r="AB196" s="11" t="str">
        <f t="shared" si="48"/>
        <v/>
      </c>
      <c r="AC196" s="10"/>
      <c r="AD196" s="10"/>
      <c r="AE196" s="10"/>
      <c r="AF196" s="10"/>
      <c r="AG196" s="10"/>
    </row>
    <row r="197" spans="2:33">
      <c r="B197" s="10"/>
      <c r="M197" s="16"/>
      <c r="N197" s="16" t="str">
        <f t="shared" si="42"/>
        <v/>
      </c>
      <c r="O197" s="16" t="str">
        <f t="shared" si="43"/>
        <v/>
      </c>
      <c r="P197" s="9"/>
      <c r="Q197" s="9"/>
      <c r="R197" s="9"/>
      <c r="S197" s="9"/>
      <c r="T197" s="16" t="str">
        <f t="shared" si="44"/>
        <v/>
      </c>
      <c r="U197" s="16" t="str">
        <f t="shared" si="45"/>
        <v/>
      </c>
      <c r="V197" s="16"/>
      <c r="W197" s="16"/>
      <c r="X197" s="16"/>
      <c r="Y197" s="16"/>
      <c r="Z197" s="16" t="str">
        <f t="shared" si="46"/>
        <v/>
      </c>
      <c r="AA197" s="16" t="str">
        <f t="shared" si="47"/>
        <v/>
      </c>
      <c r="AB197" s="11" t="str">
        <f t="shared" si="48"/>
        <v/>
      </c>
      <c r="AC197" s="10"/>
      <c r="AD197" s="10"/>
      <c r="AE197" s="10"/>
      <c r="AF197" s="10"/>
      <c r="AG197" s="10"/>
    </row>
    <row r="198" spans="2:33">
      <c r="B198" s="10"/>
      <c r="M198" s="16"/>
      <c r="N198" s="16" t="str">
        <f t="shared" si="42"/>
        <v/>
      </c>
      <c r="O198" s="16" t="str">
        <f t="shared" si="43"/>
        <v/>
      </c>
      <c r="P198" s="9"/>
      <c r="Q198" s="9"/>
      <c r="R198" s="9"/>
      <c r="S198" s="9"/>
      <c r="T198" s="16" t="str">
        <f t="shared" si="44"/>
        <v/>
      </c>
      <c r="U198" s="16" t="str">
        <f t="shared" si="45"/>
        <v/>
      </c>
      <c r="V198" s="16"/>
      <c r="W198" s="16"/>
      <c r="X198" s="16"/>
      <c r="Y198" s="16"/>
      <c r="Z198" s="16" t="str">
        <f t="shared" si="46"/>
        <v/>
      </c>
      <c r="AA198" s="16" t="str">
        <f t="shared" si="47"/>
        <v/>
      </c>
      <c r="AB198" s="11" t="str">
        <f t="shared" si="48"/>
        <v/>
      </c>
      <c r="AC198" s="10"/>
      <c r="AD198" s="10"/>
      <c r="AE198" s="10"/>
      <c r="AF198" s="10"/>
      <c r="AG198" s="10"/>
    </row>
    <row r="199" spans="2:33">
      <c r="B199" s="10"/>
      <c r="M199" s="16"/>
      <c r="N199" s="16" t="str">
        <f t="shared" si="42"/>
        <v/>
      </c>
      <c r="O199" s="16" t="str">
        <f t="shared" si="43"/>
        <v/>
      </c>
      <c r="P199" s="9"/>
      <c r="Q199" s="9"/>
      <c r="R199" s="9"/>
      <c r="S199" s="9"/>
      <c r="T199" s="16" t="str">
        <f t="shared" si="44"/>
        <v/>
      </c>
      <c r="U199" s="16" t="str">
        <f t="shared" si="45"/>
        <v/>
      </c>
      <c r="V199" s="16"/>
      <c r="W199" s="16"/>
      <c r="X199" s="16"/>
      <c r="Y199" s="16"/>
      <c r="Z199" s="16" t="str">
        <f t="shared" si="46"/>
        <v/>
      </c>
      <c r="AA199" s="16" t="str">
        <f t="shared" si="47"/>
        <v/>
      </c>
      <c r="AB199" s="11" t="str">
        <f t="shared" si="48"/>
        <v/>
      </c>
      <c r="AC199" s="10"/>
      <c r="AD199" s="10"/>
      <c r="AE199" s="10"/>
      <c r="AF199" s="10"/>
      <c r="AG199" s="10"/>
    </row>
    <row r="200" spans="2:33">
      <c r="B200" s="10"/>
      <c r="M200" s="16"/>
      <c r="N200" s="16" t="str">
        <f t="shared" si="42"/>
        <v/>
      </c>
      <c r="O200" s="16" t="str">
        <f t="shared" si="43"/>
        <v/>
      </c>
      <c r="P200" s="9"/>
      <c r="Q200" s="9"/>
      <c r="R200" s="9"/>
      <c r="S200" s="9"/>
      <c r="T200" s="16" t="str">
        <f t="shared" si="44"/>
        <v/>
      </c>
      <c r="U200" s="16" t="str">
        <f t="shared" si="45"/>
        <v/>
      </c>
      <c r="V200" s="16"/>
      <c r="W200" s="16"/>
      <c r="X200" s="16"/>
      <c r="Y200" s="16"/>
      <c r="Z200" s="16" t="str">
        <f t="shared" si="46"/>
        <v/>
      </c>
      <c r="AA200" s="16" t="str">
        <f t="shared" si="47"/>
        <v/>
      </c>
      <c r="AB200" s="11" t="str">
        <f t="shared" si="48"/>
        <v/>
      </c>
      <c r="AC200" s="10"/>
      <c r="AD200" s="10"/>
      <c r="AE200" s="10"/>
      <c r="AF200" s="10"/>
      <c r="AG200" s="10"/>
    </row>
    <row r="201" spans="2:33">
      <c r="B201" s="10"/>
      <c r="M201" s="16"/>
      <c r="N201" s="16" t="str">
        <f t="shared" si="42"/>
        <v/>
      </c>
      <c r="O201" s="16" t="str">
        <f t="shared" si="43"/>
        <v/>
      </c>
      <c r="P201" s="9"/>
      <c r="Q201" s="9"/>
      <c r="R201" s="9"/>
      <c r="S201" s="9"/>
      <c r="T201" s="16" t="str">
        <f t="shared" si="44"/>
        <v/>
      </c>
      <c r="U201" s="16" t="str">
        <f t="shared" si="45"/>
        <v/>
      </c>
      <c r="V201" s="16"/>
      <c r="W201" s="16"/>
      <c r="X201" s="16"/>
      <c r="Y201" s="16"/>
      <c r="Z201" s="16" t="str">
        <f t="shared" si="46"/>
        <v/>
      </c>
      <c r="AA201" s="16" t="str">
        <f t="shared" si="47"/>
        <v/>
      </c>
      <c r="AB201" s="11" t="str">
        <f t="shared" si="48"/>
        <v/>
      </c>
      <c r="AC201" s="10"/>
      <c r="AD201" s="10"/>
      <c r="AE201" s="10"/>
      <c r="AF201" s="10"/>
      <c r="AG201" s="10"/>
    </row>
    <row r="202" spans="2:33">
      <c r="M202" s="16"/>
      <c r="N202" s="16"/>
      <c r="O202" s="16"/>
      <c r="T202" s="16"/>
      <c r="U202" s="16"/>
      <c r="V202" s="16"/>
      <c r="W202" s="16"/>
      <c r="X202" s="16"/>
      <c r="Y202" s="16"/>
      <c r="Z202" s="16"/>
      <c r="AA202" s="16"/>
      <c r="AB202" s="11"/>
    </row>
    <row r="203" spans="2:33">
      <c r="M203" s="16"/>
      <c r="N203" s="16"/>
      <c r="O203" s="16"/>
      <c r="T203" s="16"/>
      <c r="U203" s="16"/>
      <c r="V203" s="16"/>
      <c r="W203" s="16"/>
      <c r="X203" s="16"/>
      <c r="Y203" s="16"/>
      <c r="Z203" s="16"/>
      <c r="AA203" s="16"/>
      <c r="AB203" s="11"/>
    </row>
    <row r="204" spans="2:33">
      <c r="M204" s="16"/>
      <c r="N204" s="16"/>
      <c r="O204" s="16"/>
      <c r="T204" s="16"/>
      <c r="U204" s="16"/>
      <c r="V204" s="16"/>
      <c r="W204" s="16"/>
      <c r="X204" s="16"/>
      <c r="Y204" s="16"/>
      <c r="Z204" s="16"/>
      <c r="AA204" s="16"/>
      <c r="AB204" s="11"/>
    </row>
    <row r="205" spans="2:33">
      <c r="M205" s="16"/>
      <c r="N205" s="16"/>
      <c r="O205" s="16"/>
      <c r="T205" s="16"/>
      <c r="U205" s="16"/>
      <c r="V205" s="16"/>
      <c r="W205" s="16"/>
      <c r="X205" s="16"/>
      <c r="Y205" s="16"/>
      <c r="Z205" s="16"/>
      <c r="AA205" s="16"/>
      <c r="AB205" s="11"/>
    </row>
    <row r="206" spans="2:33">
      <c r="M206" s="16"/>
      <c r="N206" s="16"/>
      <c r="O206" s="16"/>
      <c r="T206" s="16"/>
      <c r="U206" s="16"/>
      <c r="V206" s="16"/>
      <c r="W206" s="16"/>
      <c r="X206" s="16"/>
      <c r="Y206" s="16"/>
      <c r="Z206" s="16"/>
      <c r="AA206" s="16"/>
      <c r="AB206" s="11"/>
    </row>
    <row r="207" spans="2:33">
      <c r="M207" s="16"/>
      <c r="N207" s="16"/>
      <c r="O207" s="16"/>
      <c r="T207" s="16"/>
      <c r="U207" s="16"/>
      <c r="V207" s="16"/>
      <c r="W207" s="16"/>
      <c r="X207" s="16"/>
      <c r="Y207" s="16"/>
      <c r="Z207" s="16"/>
      <c r="AA207" s="16"/>
      <c r="AB207" s="11"/>
    </row>
    <row r="208" spans="2:33">
      <c r="M208" s="16"/>
      <c r="N208" s="16"/>
      <c r="O208" s="16"/>
      <c r="T208" s="16"/>
      <c r="U208" s="16"/>
      <c r="V208" s="16"/>
      <c r="W208" s="16"/>
      <c r="X208" s="16"/>
      <c r="Y208" s="16"/>
      <c r="Z208" s="16"/>
      <c r="AA208" s="16"/>
      <c r="AB208" s="11"/>
    </row>
    <row r="209" spans="13:28">
      <c r="M209" s="16"/>
      <c r="N209" s="16"/>
      <c r="O209" s="16"/>
      <c r="T209" s="16"/>
      <c r="U209" s="16"/>
      <c r="V209" s="16"/>
      <c r="W209" s="16"/>
      <c r="X209" s="16"/>
      <c r="Y209" s="16"/>
      <c r="Z209" s="16"/>
      <c r="AA209" s="16"/>
      <c r="AB209" s="11"/>
    </row>
    <row r="210" spans="13:28">
      <c r="M210" s="16"/>
      <c r="N210" s="16"/>
      <c r="O210" s="16"/>
      <c r="T210" s="16"/>
      <c r="U210" s="16"/>
      <c r="V210" s="16"/>
      <c r="W210" s="16"/>
      <c r="X210" s="16"/>
      <c r="Y210" s="16"/>
      <c r="Z210" s="16"/>
      <c r="AA210" s="16"/>
      <c r="AB210" s="11"/>
    </row>
    <row r="211" spans="13:28">
      <c r="M211" s="16"/>
      <c r="N211" s="16"/>
      <c r="O211" s="16"/>
      <c r="T211" s="16"/>
      <c r="U211" s="16"/>
      <c r="V211" s="16"/>
      <c r="W211" s="16"/>
      <c r="X211" s="16"/>
      <c r="Y211" s="16"/>
      <c r="Z211" s="16"/>
      <c r="AA211" s="16"/>
      <c r="AB211" s="11"/>
    </row>
    <row r="212" spans="13:28">
      <c r="M212" s="16"/>
      <c r="N212" s="16"/>
      <c r="O212" s="16"/>
      <c r="T212" s="16"/>
      <c r="U212" s="16"/>
      <c r="V212" s="16"/>
      <c r="W212" s="16"/>
      <c r="X212" s="16"/>
      <c r="Y212" s="16"/>
      <c r="Z212" s="16"/>
      <c r="AA212" s="16"/>
      <c r="AB212" s="11"/>
    </row>
    <row r="213" spans="13:28">
      <c r="M213" s="16"/>
      <c r="N213" s="16"/>
      <c r="O213" s="16"/>
      <c r="T213" s="16"/>
      <c r="U213" s="16"/>
      <c r="V213" s="16"/>
      <c r="W213" s="16"/>
      <c r="X213" s="16"/>
      <c r="Y213" s="16"/>
      <c r="Z213" s="16"/>
      <c r="AA213" s="16"/>
      <c r="AB213" s="11"/>
    </row>
    <row r="214" spans="13:28">
      <c r="M214" s="16"/>
      <c r="N214" s="16"/>
      <c r="O214" s="16"/>
      <c r="T214" s="16"/>
      <c r="U214" s="16"/>
      <c r="V214" s="16"/>
      <c r="W214" s="16"/>
      <c r="X214" s="16"/>
      <c r="Y214" s="16"/>
      <c r="Z214" s="16"/>
      <c r="AA214" s="16"/>
      <c r="AB214" s="11"/>
    </row>
    <row r="215" spans="13:28">
      <c r="M215" s="16"/>
      <c r="N215" s="16"/>
      <c r="O215" s="16"/>
      <c r="T215" s="16"/>
      <c r="U215" s="16"/>
      <c r="V215" s="16"/>
      <c r="W215" s="16"/>
      <c r="X215" s="16"/>
      <c r="Y215" s="16"/>
      <c r="Z215" s="16"/>
      <c r="AA215" s="16"/>
      <c r="AB215" s="11"/>
    </row>
    <row r="216" spans="13:28">
      <c r="M216" s="16"/>
      <c r="N216" s="16"/>
      <c r="O216" s="16"/>
      <c r="T216" s="16"/>
      <c r="U216" s="16"/>
      <c r="V216" s="16"/>
      <c r="W216" s="16"/>
      <c r="X216" s="16"/>
      <c r="Y216" s="16"/>
      <c r="Z216" s="16"/>
      <c r="AA216" s="16"/>
      <c r="AB216" s="11"/>
    </row>
    <row r="217" spans="13:28">
      <c r="M217" s="16"/>
      <c r="N217" s="16"/>
      <c r="O217" s="16"/>
      <c r="T217" s="16"/>
      <c r="U217" s="16"/>
      <c r="V217" s="16"/>
      <c r="W217" s="16"/>
      <c r="X217" s="16"/>
      <c r="Y217" s="16"/>
      <c r="Z217" s="16"/>
      <c r="AA217" s="16"/>
      <c r="AB217" s="11"/>
    </row>
    <row r="218" spans="13:28">
      <c r="M218" s="16"/>
      <c r="N218" s="16"/>
      <c r="O218" s="16"/>
      <c r="T218" s="16"/>
      <c r="U218" s="16"/>
      <c r="V218" s="16"/>
      <c r="W218" s="16"/>
      <c r="X218" s="16"/>
      <c r="Y218" s="16"/>
      <c r="Z218" s="16"/>
      <c r="AA218" s="16"/>
      <c r="AB218" s="11"/>
    </row>
    <row r="219" spans="13:28">
      <c r="M219" s="16"/>
      <c r="N219" s="16"/>
      <c r="O219" s="16"/>
      <c r="T219" s="16"/>
      <c r="U219" s="16"/>
      <c r="V219" s="16"/>
      <c r="W219" s="16"/>
      <c r="X219" s="16"/>
      <c r="Y219" s="16"/>
      <c r="Z219" s="16"/>
      <c r="AA219" s="16"/>
      <c r="AB219" s="11"/>
    </row>
    <row r="220" spans="13:28">
      <c r="M220" s="16"/>
      <c r="N220" s="16"/>
      <c r="O220" s="16"/>
      <c r="T220" s="16"/>
      <c r="U220" s="16"/>
      <c r="V220" s="16"/>
      <c r="W220" s="16"/>
      <c r="X220" s="16"/>
      <c r="Y220" s="16"/>
      <c r="Z220" s="16"/>
      <c r="AA220" s="16"/>
      <c r="AB220" s="11"/>
    </row>
    <row r="221" spans="13:28">
      <c r="M221" s="16"/>
      <c r="N221" s="16"/>
      <c r="O221" s="16"/>
      <c r="T221" s="16"/>
      <c r="U221" s="16"/>
      <c r="V221" s="16"/>
      <c r="W221" s="16"/>
      <c r="X221" s="16"/>
      <c r="Y221" s="16"/>
      <c r="Z221" s="16"/>
      <c r="AA221" s="16"/>
      <c r="AB221" s="11"/>
    </row>
    <row r="222" spans="13:28">
      <c r="M222" s="16"/>
      <c r="N222" s="16"/>
      <c r="O222" s="16"/>
      <c r="T222" s="16"/>
      <c r="U222" s="16"/>
      <c r="V222" s="16"/>
      <c r="W222" s="16"/>
      <c r="X222" s="16"/>
      <c r="Y222" s="16"/>
      <c r="Z222" s="16"/>
      <c r="AA222" s="16"/>
      <c r="AB222" s="11"/>
    </row>
    <row r="223" spans="13:28">
      <c r="M223" s="16"/>
      <c r="N223" s="16"/>
      <c r="O223" s="16"/>
      <c r="T223" s="16"/>
      <c r="U223" s="16"/>
      <c r="V223" s="16"/>
      <c r="W223" s="16"/>
      <c r="X223" s="16"/>
      <c r="Y223" s="16"/>
      <c r="Z223" s="16"/>
      <c r="AA223" s="16"/>
      <c r="AB223" s="11"/>
    </row>
    <row r="224" spans="13:28">
      <c r="M224" s="16"/>
      <c r="N224" s="16"/>
      <c r="O224" s="16"/>
      <c r="T224" s="16"/>
      <c r="U224" s="16"/>
      <c r="V224" s="16"/>
      <c r="W224" s="16"/>
      <c r="X224" s="16"/>
      <c r="Y224" s="16"/>
      <c r="Z224" s="16"/>
      <c r="AA224" s="16"/>
      <c r="AB224" s="11"/>
    </row>
    <row r="225" spans="13:28">
      <c r="M225" s="16"/>
      <c r="N225" s="16"/>
      <c r="O225" s="16"/>
      <c r="T225" s="16"/>
      <c r="U225" s="16"/>
      <c r="V225" s="16"/>
      <c r="W225" s="16"/>
      <c r="X225" s="16"/>
      <c r="Y225" s="16"/>
      <c r="Z225" s="16"/>
      <c r="AA225" s="16"/>
      <c r="AB225" s="11"/>
    </row>
    <row r="226" spans="13:28">
      <c r="M226" s="16"/>
      <c r="N226" s="16"/>
      <c r="O226" s="16"/>
      <c r="T226" s="16"/>
      <c r="U226" s="16"/>
      <c r="V226" s="16"/>
      <c r="W226" s="16"/>
      <c r="X226" s="16"/>
      <c r="Y226" s="16"/>
      <c r="Z226" s="16"/>
      <c r="AA226" s="16"/>
      <c r="AB226" s="11"/>
    </row>
    <row r="227" spans="13:28">
      <c r="M227" s="16"/>
      <c r="N227" s="16"/>
      <c r="O227" s="16"/>
      <c r="T227" s="16"/>
      <c r="U227" s="16"/>
      <c r="V227" s="16"/>
      <c r="W227" s="16"/>
      <c r="X227" s="16"/>
      <c r="Y227" s="16"/>
      <c r="Z227" s="16"/>
      <c r="AA227" s="16"/>
      <c r="AB227" s="11"/>
    </row>
    <row r="228" spans="13:28">
      <c r="M228" s="16"/>
      <c r="N228" s="16"/>
      <c r="O228" s="16"/>
      <c r="T228" s="16"/>
      <c r="U228" s="16"/>
      <c r="V228" s="16"/>
      <c r="W228" s="16"/>
      <c r="X228" s="16"/>
      <c r="Y228" s="16"/>
      <c r="Z228" s="16"/>
      <c r="AA228" s="16"/>
      <c r="AB228" s="11"/>
    </row>
    <row r="229" spans="13:28">
      <c r="M229" s="16"/>
      <c r="N229" s="16"/>
      <c r="O229" s="16"/>
      <c r="T229" s="16"/>
      <c r="U229" s="16"/>
      <c r="V229" s="16"/>
      <c r="W229" s="16"/>
      <c r="X229" s="16"/>
      <c r="Y229" s="16"/>
      <c r="Z229" s="16"/>
      <c r="AA229" s="16"/>
      <c r="AB229" s="11"/>
    </row>
    <row r="230" spans="13:28">
      <c r="M230" s="16"/>
      <c r="N230" s="16"/>
      <c r="O230" s="16"/>
      <c r="T230" s="16"/>
      <c r="U230" s="16"/>
      <c r="V230" s="16"/>
      <c r="W230" s="16"/>
      <c r="X230" s="16"/>
      <c r="Y230" s="16"/>
      <c r="Z230" s="16"/>
      <c r="AA230" s="16"/>
      <c r="AB230" s="11"/>
    </row>
    <row r="231" spans="13:28">
      <c r="M231" s="16"/>
      <c r="N231" s="16"/>
      <c r="O231" s="16"/>
      <c r="T231" s="16"/>
      <c r="U231" s="16"/>
      <c r="V231" s="16"/>
      <c r="W231" s="16"/>
      <c r="X231" s="16"/>
      <c r="Y231" s="16"/>
      <c r="Z231" s="16"/>
      <c r="AA231" s="16"/>
      <c r="AB231" s="11"/>
    </row>
    <row r="232" spans="13:28">
      <c r="M232" s="16"/>
      <c r="N232" s="16"/>
      <c r="O232" s="16"/>
      <c r="T232" s="16"/>
      <c r="U232" s="16"/>
      <c r="V232" s="16"/>
      <c r="W232" s="16"/>
      <c r="X232" s="16"/>
      <c r="Y232" s="16"/>
      <c r="Z232" s="16"/>
      <c r="AA232" s="16"/>
      <c r="AB232" s="11"/>
    </row>
    <row r="233" spans="13:28">
      <c r="M233" s="16"/>
      <c r="N233" s="16"/>
      <c r="O233" s="16"/>
      <c r="T233" s="16"/>
      <c r="U233" s="16"/>
      <c r="V233" s="16"/>
      <c r="W233" s="16"/>
      <c r="X233" s="16"/>
      <c r="Y233" s="16"/>
      <c r="Z233" s="16"/>
      <c r="AA233" s="16"/>
      <c r="AB233" s="11"/>
    </row>
    <row r="234" spans="13:28">
      <c r="M234" s="16"/>
      <c r="N234" s="16"/>
      <c r="O234" s="16"/>
      <c r="T234" s="16"/>
      <c r="U234" s="16"/>
      <c r="V234" s="16"/>
      <c r="W234" s="16"/>
      <c r="X234" s="16"/>
      <c r="Y234" s="16"/>
      <c r="Z234" s="16"/>
      <c r="AA234" s="16"/>
      <c r="AB234" s="11"/>
    </row>
    <row r="235" spans="13:28">
      <c r="M235" s="16"/>
      <c r="N235" s="16"/>
      <c r="O235" s="16"/>
      <c r="T235" s="16"/>
      <c r="U235" s="16"/>
      <c r="V235" s="16"/>
      <c r="W235" s="16"/>
      <c r="X235" s="16"/>
      <c r="Y235" s="16"/>
      <c r="Z235" s="16"/>
      <c r="AA235" s="16"/>
      <c r="AB235" s="11"/>
    </row>
    <row r="236" spans="13:28">
      <c r="M236" s="16"/>
      <c r="N236" s="16"/>
      <c r="O236" s="16"/>
      <c r="T236" s="16"/>
      <c r="U236" s="16"/>
      <c r="V236" s="16"/>
      <c r="W236" s="16"/>
      <c r="X236" s="16"/>
      <c r="Y236" s="16"/>
      <c r="Z236" s="16"/>
      <c r="AA236" s="16"/>
      <c r="AB236" s="11"/>
    </row>
    <row r="237" spans="13:28">
      <c r="M237" s="16"/>
      <c r="N237" s="16"/>
      <c r="O237" s="16"/>
      <c r="T237" s="16"/>
      <c r="U237" s="16"/>
      <c r="V237" s="16"/>
      <c r="W237" s="16"/>
      <c r="X237" s="16"/>
      <c r="Y237" s="16"/>
      <c r="Z237" s="16"/>
      <c r="AA237" s="16"/>
      <c r="AB237" s="11"/>
    </row>
    <row r="238" spans="13:28">
      <c r="M238" s="16"/>
      <c r="N238" s="16"/>
      <c r="O238" s="16"/>
      <c r="T238" s="16"/>
      <c r="U238" s="16"/>
      <c r="V238" s="16"/>
      <c r="W238" s="16"/>
      <c r="X238" s="16"/>
      <c r="Y238" s="16"/>
      <c r="Z238" s="16"/>
      <c r="AA238" s="16"/>
      <c r="AB238" s="11"/>
    </row>
    <row r="239" spans="13:28">
      <c r="M239" s="16"/>
      <c r="N239" s="16"/>
      <c r="O239" s="16"/>
      <c r="T239" s="16"/>
      <c r="U239" s="16"/>
      <c r="V239" s="16"/>
      <c r="W239" s="16"/>
      <c r="X239" s="16"/>
      <c r="Y239" s="16"/>
      <c r="Z239" s="16"/>
      <c r="AA239" s="16"/>
      <c r="AB239" s="11"/>
    </row>
    <row r="240" spans="13:28">
      <c r="M240" s="16"/>
      <c r="N240" s="16"/>
      <c r="O240" s="16"/>
      <c r="T240" s="16"/>
      <c r="U240" s="16"/>
      <c r="V240" s="16"/>
      <c r="W240" s="16"/>
      <c r="X240" s="16"/>
      <c r="Y240" s="16"/>
      <c r="Z240" s="16"/>
      <c r="AA240" s="16"/>
      <c r="AB240" s="11"/>
    </row>
    <row r="241" spans="13:28">
      <c r="M241" s="16"/>
      <c r="N241" s="16"/>
      <c r="O241" s="16"/>
      <c r="T241" s="16"/>
      <c r="U241" s="16"/>
      <c r="V241" s="16"/>
      <c r="W241" s="16"/>
      <c r="X241" s="16"/>
      <c r="Y241" s="16"/>
      <c r="Z241" s="16"/>
      <c r="AA241" s="16"/>
      <c r="AB241" s="11"/>
    </row>
    <row r="242" spans="13:28">
      <c r="M242" s="16"/>
      <c r="N242" s="16"/>
      <c r="O242" s="16"/>
      <c r="T242" s="16"/>
      <c r="U242" s="16"/>
      <c r="V242" s="16"/>
      <c r="W242" s="16"/>
      <c r="X242" s="16"/>
      <c r="Y242" s="16"/>
      <c r="Z242" s="16"/>
      <c r="AA242" s="16"/>
      <c r="AB242" s="11"/>
    </row>
    <row r="243" spans="13:28">
      <c r="M243" s="16"/>
      <c r="N243" s="16"/>
      <c r="O243" s="16"/>
      <c r="T243" s="16"/>
      <c r="U243" s="16"/>
      <c r="V243" s="16"/>
      <c r="W243" s="16"/>
      <c r="X243" s="16"/>
      <c r="Y243" s="16"/>
      <c r="Z243" s="16"/>
      <c r="AA243" s="16"/>
      <c r="AB243" s="11"/>
    </row>
    <row r="244" spans="13:28">
      <c r="M244" s="16"/>
      <c r="N244" s="16"/>
      <c r="O244" s="16"/>
      <c r="T244" s="16"/>
      <c r="U244" s="16"/>
      <c r="V244" s="16"/>
      <c r="W244" s="16"/>
      <c r="X244" s="16"/>
      <c r="Y244" s="16"/>
      <c r="Z244" s="16"/>
      <c r="AA244" s="16"/>
      <c r="AB244" s="11"/>
    </row>
    <row r="245" spans="13:28">
      <c r="M245" s="16"/>
      <c r="N245" s="16"/>
      <c r="O245" s="16"/>
      <c r="T245" s="16"/>
      <c r="U245" s="16"/>
      <c r="V245" s="16"/>
      <c r="W245" s="16"/>
      <c r="X245" s="16"/>
      <c r="Y245" s="16"/>
      <c r="Z245" s="16"/>
      <c r="AA245" s="16"/>
      <c r="AB245" s="11"/>
    </row>
    <row r="246" spans="13:28">
      <c r="M246" s="16"/>
      <c r="N246" s="16"/>
      <c r="O246" s="16"/>
      <c r="T246" s="16"/>
      <c r="U246" s="16"/>
      <c r="V246" s="16"/>
      <c r="W246" s="16"/>
      <c r="X246" s="16"/>
      <c r="Y246" s="16"/>
      <c r="Z246" s="16"/>
      <c r="AA246" s="16"/>
      <c r="AB246" s="11"/>
    </row>
    <row r="247" spans="13:28">
      <c r="M247" s="16"/>
      <c r="N247" s="16"/>
      <c r="O247" s="16"/>
      <c r="T247" s="16"/>
      <c r="U247" s="16"/>
      <c r="V247" s="16"/>
      <c r="W247" s="16"/>
      <c r="X247" s="16"/>
      <c r="Y247" s="16"/>
      <c r="Z247" s="16"/>
      <c r="AA247" s="16"/>
      <c r="AB247" s="11"/>
    </row>
    <row r="248" spans="13:28">
      <c r="M248" s="16"/>
      <c r="N248" s="16"/>
      <c r="O248" s="16"/>
      <c r="T248" s="16"/>
      <c r="U248" s="16"/>
      <c r="V248" s="16"/>
      <c r="W248" s="16"/>
      <c r="X248" s="16"/>
      <c r="Y248" s="16"/>
      <c r="Z248" s="16"/>
      <c r="AA248" s="16"/>
      <c r="AB248" s="11"/>
    </row>
    <row r="249" spans="13:28">
      <c r="M249" s="16"/>
      <c r="N249" s="16"/>
      <c r="O249" s="16"/>
      <c r="T249" s="16"/>
      <c r="U249" s="16"/>
      <c r="V249" s="16"/>
      <c r="W249" s="16"/>
      <c r="X249" s="16"/>
      <c r="Y249" s="16"/>
      <c r="Z249" s="16"/>
      <c r="AA249" s="16"/>
      <c r="AB249" s="11"/>
    </row>
    <row r="250" spans="13:28">
      <c r="M250" s="16"/>
      <c r="N250" s="16"/>
      <c r="O250" s="16"/>
      <c r="T250" s="16"/>
      <c r="U250" s="16"/>
      <c r="V250" s="16"/>
      <c r="W250" s="16"/>
      <c r="X250" s="16"/>
      <c r="Y250" s="16"/>
      <c r="Z250" s="16"/>
      <c r="AA250" s="16"/>
      <c r="AB250" s="11"/>
    </row>
    <row r="251" spans="13:28">
      <c r="M251" s="16"/>
      <c r="N251" s="16"/>
      <c r="O251" s="16"/>
      <c r="T251" s="16"/>
      <c r="U251" s="16"/>
      <c r="V251" s="16"/>
      <c r="W251" s="16"/>
      <c r="X251" s="16"/>
      <c r="Y251" s="16"/>
      <c r="Z251" s="16"/>
      <c r="AA251" s="16"/>
      <c r="AB251" s="11"/>
    </row>
    <row r="252" spans="13:28">
      <c r="M252" s="16"/>
      <c r="N252" s="16"/>
      <c r="O252" s="16"/>
      <c r="T252" s="16"/>
      <c r="U252" s="16"/>
      <c r="V252" s="16"/>
      <c r="W252" s="16"/>
      <c r="X252" s="16"/>
      <c r="Y252" s="16"/>
      <c r="Z252" s="16"/>
      <c r="AA252" s="16"/>
      <c r="AB252" s="11"/>
    </row>
    <row r="253" spans="13:28">
      <c r="M253" s="16"/>
      <c r="N253" s="16"/>
      <c r="O253" s="16"/>
      <c r="T253" s="16"/>
      <c r="U253" s="16"/>
      <c r="V253" s="16"/>
      <c r="W253" s="16"/>
      <c r="X253" s="16"/>
      <c r="Y253" s="16"/>
      <c r="Z253" s="16"/>
      <c r="AA253" s="16"/>
      <c r="AB253" s="11"/>
    </row>
    <row r="254" spans="13:28">
      <c r="M254" s="16"/>
      <c r="N254" s="16"/>
      <c r="O254" s="16"/>
      <c r="T254" s="16"/>
      <c r="U254" s="16"/>
      <c r="V254" s="16"/>
      <c r="W254" s="16"/>
      <c r="X254" s="16"/>
      <c r="Y254" s="16"/>
      <c r="Z254" s="16"/>
      <c r="AA254" s="16"/>
      <c r="AB254" s="11"/>
    </row>
    <row r="255" spans="13:28">
      <c r="M255" s="16"/>
      <c r="N255" s="16"/>
      <c r="O255" s="16"/>
      <c r="T255" s="16"/>
      <c r="U255" s="16"/>
      <c r="V255" s="16"/>
      <c r="W255" s="16"/>
      <c r="X255" s="16"/>
      <c r="Y255" s="16"/>
      <c r="Z255" s="16"/>
      <c r="AA255" s="16"/>
      <c r="AB255" s="11"/>
    </row>
    <row r="256" spans="13:28">
      <c r="M256" s="16"/>
      <c r="N256" s="16"/>
      <c r="O256" s="16"/>
      <c r="T256" s="16"/>
      <c r="U256" s="16"/>
      <c r="V256" s="16"/>
      <c r="W256" s="16"/>
      <c r="X256" s="16"/>
      <c r="Y256" s="16"/>
      <c r="Z256" s="16"/>
      <c r="AA256" s="16"/>
      <c r="AB256" s="11"/>
    </row>
    <row r="257" spans="13:28">
      <c r="M257" s="16"/>
      <c r="N257" s="16"/>
      <c r="O257" s="16"/>
      <c r="T257" s="16"/>
      <c r="U257" s="16"/>
      <c r="V257" s="16"/>
      <c r="W257" s="16"/>
      <c r="X257" s="16"/>
      <c r="Y257" s="16"/>
      <c r="Z257" s="16"/>
      <c r="AA257" s="16"/>
      <c r="AB257" s="11"/>
    </row>
    <row r="258" spans="13:28">
      <c r="M258" s="16"/>
      <c r="N258" s="16"/>
      <c r="O258" s="16"/>
      <c r="T258" s="16"/>
      <c r="U258" s="16"/>
      <c r="V258" s="16"/>
      <c r="W258" s="16"/>
      <c r="X258" s="16"/>
      <c r="Y258" s="16"/>
      <c r="Z258" s="16"/>
      <c r="AA258" s="16"/>
      <c r="AB258" s="11"/>
    </row>
    <row r="259" spans="13:28">
      <c r="M259" s="16"/>
      <c r="N259" s="16"/>
      <c r="O259" s="16"/>
      <c r="T259" s="16"/>
      <c r="U259" s="16"/>
      <c r="V259" s="16"/>
      <c r="W259" s="16"/>
      <c r="X259" s="16"/>
      <c r="Y259" s="16"/>
      <c r="Z259" s="16"/>
      <c r="AA259" s="16"/>
      <c r="AB259" s="11"/>
    </row>
    <row r="260" spans="13:28">
      <c r="M260" s="16"/>
      <c r="N260" s="16"/>
      <c r="O260" s="16"/>
      <c r="T260" s="16"/>
      <c r="U260" s="16"/>
      <c r="V260" s="16"/>
      <c r="W260" s="16"/>
      <c r="X260" s="16"/>
      <c r="Y260" s="16"/>
      <c r="Z260" s="16"/>
      <c r="AA260" s="16"/>
      <c r="AB260" s="11"/>
    </row>
    <row r="261" spans="13:28">
      <c r="M261" s="16"/>
      <c r="N261" s="16"/>
      <c r="O261" s="16"/>
      <c r="T261" s="16"/>
      <c r="U261" s="16"/>
      <c r="V261" s="16"/>
      <c r="W261" s="16"/>
      <c r="X261" s="16"/>
      <c r="Y261" s="16"/>
      <c r="Z261" s="16"/>
      <c r="AA261" s="16"/>
      <c r="AB261" s="11"/>
    </row>
    <row r="262" spans="13:28">
      <c r="M262" s="16"/>
      <c r="N262" s="16"/>
      <c r="O262" s="16"/>
      <c r="T262" s="16"/>
      <c r="U262" s="16"/>
      <c r="V262" s="16"/>
      <c r="W262" s="16"/>
      <c r="X262" s="16"/>
      <c r="Y262" s="16"/>
      <c r="Z262" s="16"/>
      <c r="AA262" s="16"/>
      <c r="AB262" s="11"/>
    </row>
    <row r="263" spans="13:28">
      <c r="M263" s="16"/>
      <c r="N263" s="16"/>
      <c r="O263" s="16"/>
      <c r="T263" s="16"/>
      <c r="U263" s="16"/>
      <c r="V263" s="16"/>
      <c r="W263" s="16"/>
      <c r="X263" s="16"/>
      <c r="Y263" s="16"/>
      <c r="Z263" s="16"/>
      <c r="AA263" s="16"/>
      <c r="AB263" s="11"/>
    </row>
    <row r="264" spans="13:28">
      <c r="M264" s="16"/>
      <c r="N264" s="16"/>
      <c r="O264" s="16"/>
      <c r="T264" s="16"/>
      <c r="U264" s="16"/>
      <c r="V264" s="16"/>
      <c r="W264" s="16"/>
      <c r="X264" s="16"/>
      <c r="Y264" s="16"/>
      <c r="Z264" s="16"/>
      <c r="AA264" s="16"/>
      <c r="AB264" s="11"/>
    </row>
    <row r="265" spans="13:28">
      <c r="M265" s="16"/>
      <c r="N265" s="16"/>
      <c r="O265" s="16"/>
      <c r="T265" s="16"/>
      <c r="U265" s="16"/>
      <c r="V265" s="16"/>
      <c r="W265" s="16"/>
      <c r="X265" s="16"/>
      <c r="Y265" s="16"/>
      <c r="Z265" s="16"/>
      <c r="AA265" s="16"/>
      <c r="AB265" s="11"/>
    </row>
    <row r="266" spans="13:28">
      <c r="M266" s="16"/>
      <c r="N266" s="16"/>
      <c r="O266" s="16"/>
      <c r="T266" s="16"/>
      <c r="U266" s="16"/>
      <c r="V266" s="16"/>
      <c r="W266" s="16"/>
      <c r="X266" s="16"/>
      <c r="Y266" s="16"/>
      <c r="Z266" s="16"/>
      <c r="AA266" s="16"/>
      <c r="AB266" s="11"/>
    </row>
    <row r="267" spans="13:28">
      <c r="M267" s="16"/>
      <c r="N267" s="16"/>
      <c r="O267" s="16"/>
      <c r="T267" s="16"/>
      <c r="U267" s="16"/>
      <c r="V267" s="16"/>
      <c r="W267" s="16"/>
      <c r="X267" s="16"/>
      <c r="Y267" s="16"/>
      <c r="Z267" s="16"/>
      <c r="AA267" s="16"/>
      <c r="AB267" s="11"/>
    </row>
    <row r="268" spans="13:28">
      <c r="M268" s="16"/>
      <c r="N268" s="16"/>
      <c r="O268" s="16"/>
      <c r="T268" s="16"/>
      <c r="U268" s="16"/>
      <c r="V268" s="16"/>
      <c r="W268" s="16"/>
      <c r="X268" s="16"/>
      <c r="Y268" s="16"/>
      <c r="Z268" s="16"/>
      <c r="AA268" s="16"/>
      <c r="AB268" s="11"/>
    </row>
    <row r="269" spans="13:28">
      <c r="M269" s="16"/>
      <c r="N269" s="16"/>
      <c r="O269" s="16"/>
      <c r="T269" s="16"/>
      <c r="U269" s="16"/>
      <c r="V269" s="16"/>
      <c r="W269" s="16"/>
      <c r="X269" s="16"/>
      <c r="Y269" s="16"/>
      <c r="Z269" s="16"/>
      <c r="AA269" s="16"/>
      <c r="AB269" s="11"/>
    </row>
    <row r="270" spans="13:28">
      <c r="M270" s="16"/>
      <c r="N270" s="16"/>
      <c r="O270" s="16"/>
      <c r="T270" s="16"/>
      <c r="U270" s="16"/>
      <c r="V270" s="16"/>
      <c r="W270" s="16"/>
      <c r="X270" s="16"/>
      <c r="Y270" s="16"/>
      <c r="Z270" s="16"/>
      <c r="AA270" s="16"/>
      <c r="AB270" s="11"/>
    </row>
    <row r="271" spans="13:28">
      <c r="M271" s="16"/>
      <c r="N271" s="16"/>
      <c r="O271" s="16"/>
      <c r="T271" s="16"/>
      <c r="U271" s="16"/>
      <c r="V271" s="16"/>
      <c r="W271" s="16"/>
      <c r="X271" s="16"/>
      <c r="Y271" s="16"/>
      <c r="Z271" s="16"/>
      <c r="AA271" s="16"/>
      <c r="AB271" s="11"/>
    </row>
    <row r="272" spans="13:28">
      <c r="M272" s="16"/>
      <c r="N272" s="16"/>
      <c r="O272" s="16"/>
      <c r="T272" s="16"/>
      <c r="U272" s="16"/>
      <c r="V272" s="16"/>
      <c r="W272" s="16"/>
      <c r="X272" s="16"/>
      <c r="Y272" s="16"/>
      <c r="Z272" s="16"/>
      <c r="AA272" s="16"/>
      <c r="AB272" s="11"/>
    </row>
    <row r="273" spans="13:28">
      <c r="M273" s="16"/>
      <c r="N273" s="16"/>
      <c r="O273" s="16"/>
      <c r="T273" s="16"/>
      <c r="U273" s="16"/>
      <c r="V273" s="16"/>
      <c r="W273" s="16"/>
      <c r="X273" s="16"/>
      <c r="Y273" s="16"/>
      <c r="Z273" s="16"/>
      <c r="AA273" s="16"/>
      <c r="AB273" s="11"/>
    </row>
    <row r="274" spans="13:28">
      <c r="M274" s="16"/>
      <c r="N274" s="16"/>
      <c r="O274" s="16"/>
      <c r="T274" s="16"/>
      <c r="U274" s="16"/>
      <c r="V274" s="16"/>
      <c r="W274" s="16"/>
      <c r="X274" s="16"/>
      <c r="Y274" s="16"/>
      <c r="Z274" s="16"/>
      <c r="AA274" s="16"/>
      <c r="AB274" s="11"/>
    </row>
    <row r="275" spans="13:28">
      <c r="M275" s="16"/>
      <c r="N275" s="16"/>
      <c r="O275" s="16"/>
      <c r="T275" s="16"/>
      <c r="U275" s="16"/>
      <c r="V275" s="16"/>
      <c r="W275" s="16"/>
      <c r="X275" s="16"/>
      <c r="Y275" s="16"/>
      <c r="Z275" s="16"/>
      <c r="AA275" s="16"/>
      <c r="AB275" s="11"/>
    </row>
    <row r="276" spans="13:28">
      <c r="M276" s="16"/>
      <c r="N276" s="16"/>
      <c r="O276" s="16"/>
      <c r="T276" s="16"/>
      <c r="U276" s="16"/>
      <c r="V276" s="16"/>
      <c r="W276" s="16"/>
      <c r="X276" s="16"/>
      <c r="Y276" s="16"/>
      <c r="Z276" s="16"/>
      <c r="AA276" s="16"/>
      <c r="AB276" s="11"/>
    </row>
    <row r="277" spans="13:28">
      <c r="M277" s="16"/>
      <c r="N277" s="16"/>
      <c r="O277" s="16"/>
      <c r="T277" s="16"/>
      <c r="U277" s="16"/>
      <c r="V277" s="16"/>
      <c r="W277" s="16"/>
      <c r="X277" s="16"/>
      <c r="Y277" s="16"/>
      <c r="Z277" s="16"/>
      <c r="AA277" s="16"/>
      <c r="AB277" s="11"/>
    </row>
    <row r="278" spans="13:28">
      <c r="M278" s="16"/>
      <c r="N278" s="16"/>
      <c r="O278" s="16"/>
      <c r="T278" s="16"/>
      <c r="U278" s="16"/>
      <c r="V278" s="16"/>
      <c r="W278" s="16"/>
      <c r="X278" s="16"/>
      <c r="Y278" s="16"/>
      <c r="Z278" s="16"/>
      <c r="AA278" s="16"/>
      <c r="AB278" s="11"/>
    </row>
    <row r="279" spans="13:28">
      <c r="M279" s="16"/>
      <c r="N279" s="16"/>
      <c r="O279" s="16"/>
      <c r="T279" s="16"/>
      <c r="U279" s="16"/>
      <c r="V279" s="16"/>
      <c r="W279" s="16"/>
      <c r="X279" s="16"/>
      <c r="Y279" s="16"/>
      <c r="Z279" s="16"/>
      <c r="AA279" s="16"/>
      <c r="AB279" s="11"/>
    </row>
    <row r="280" spans="13:28">
      <c r="M280" s="16"/>
      <c r="N280" s="16"/>
      <c r="O280" s="16"/>
      <c r="T280" s="16"/>
      <c r="U280" s="16"/>
      <c r="V280" s="16"/>
      <c r="W280" s="16"/>
      <c r="X280" s="16"/>
      <c r="Y280" s="16"/>
      <c r="Z280" s="16"/>
      <c r="AA280" s="16"/>
      <c r="AB280" s="11"/>
    </row>
    <row r="281" spans="13:28">
      <c r="M281" s="16"/>
      <c r="N281" s="16"/>
      <c r="O281" s="16"/>
      <c r="T281" s="16"/>
      <c r="U281" s="16"/>
      <c r="V281" s="16"/>
      <c r="W281" s="16"/>
      <c r="X281" s="16"/>
      <c r="Y281" s="16"/>
      <c r="Z281" s="16"/>
      <c r="AA281" s="16"/>
      <c r="AB281" s="11"/>
    </row>
    <row r="282" spans="13:28">
      <c r="M282" s="16"/>
      <c r="N282" s="16"/>
      <c r="O282" s="16"/>
      <c r="T282" s="16"/>
      <c r="U282" s="16"/>
      <c r="V282" s="16"/>
      <c r="W282" s="16"/>
      <c r="X282" s="16"/>
      <c r="Y282" s="16"/>
      <c r="Z282" s="16"/>
      <c r="AA282" s="16"/>
      <c r="AB282" s="11"/>
    </row>
    <row r="283" spans="13:28">
      <c r="M283" s="16"/>
      <c r="N283" s="16"/>
      <c r="O283" s="16"/>
      <c r="T283" s="16"/>
      <c r="U283" s="16"/>
      <c r="V283" s="16"/>
      <c r="W283" s="16"/>
      <c r="X283" s="16"/>
      <c r="Y283" s="16"/>
      <c r="Z283" s="16"/>
      <c r="AA283" s="16"/>
      <c r="AB283" s="11"/>
    </row>
    <row r="284" spans="13:28">
      <c r="M284" s="16"/>
      <c r="N284" s="16"/>
      <c r="O284" s="16"/>
      <c r="T284" s="16"/>
      <c r="U284" s="16"/>
      <c r="V284" s="16"/>
      <c r="W284" s="16"/>
      <c r="X284" s="16"/>
      <c r="Y284" s="16"/>
      <c r="Z284" s="16"/>
      <c r="AA284" s="16"/>
      <c r="AB284" s="11"/>
    </row>
    <row r="285" spans="13:28">
      <c r="M285" s="16"/>
      <c r="N285" s="16"/>
      <c r="O285" s="16"/>
      <c r="T285" s="16"/>
      <c r="U285" s="16"/>
      <c r="V285" s="16"/>
      <c r="W285" s="16"/>
      <c r="X285" s="16"/>
      <c r="Y285" s="16"/>
      <c r="Z285" s="16"/>
      <c r="AA285" s="16"/>
      <c r="AB285" s="11"/>
    </row>
    <row r="286" spans="13:28">
      <c r="M286" s="16"/>
      <c r="N286" s="16"/>
      <c r="O286" s="16"/>
      <c r="T286" s="16"/>
      <c r="U286" s="16"/>
      <c r="V286" s="16"/>
      <c r="W286" s="16"/>
      <c r="X286" s="16"/>
      <c r="Y286" s="16"/>
      <c r="Z286" s="16"/>
      <c r="AA286" s="16"/>
      <c r="AB286" s="11"/>
    </row>
    <row r="287" spans="13:28">
      <c r="M287" s="16"/>
      <c r="N287" s="16"/>
      <c r="O287" s="16"/>
      <c r="T287" s="16"/>
      <c r="U287" s="16"/>
      <c r="V287" s="16"/>
      <c r="W287" s="16"/>
      <c r="X287" s="16"/>
      <c r="Y287" s="16"/>
      <c r="Z287" s="16"/>
      <c r="AA287" s="16"/>
      <c r="AB287" s="11"/>
    </row>
    <row r="288" spans="13:28">
      <c r="M288" s="16"/>
      <c r="N288" s="16"/>
      <c r="O288" s="16"/>
      <c r="T288" s="16"/>
      <c r="U288" s="16"/>
      <c r="V288" s="16"/>
      <c r="W288" s="16"/>
      <c r="X288" s="16"/>
      <c r="Y288" s="16"/>
      <c r="Z288" s="16"/>
      <c r="AA288" s="16"/>
      <c r="AB288" s="11"/>
    </row>
    <row r="289" spans="13:28">
      <c r="M289" s="16"/>
      <c r="N289" s="16"/>
      <c r="O289" s="16"/>
      <c r="T289" s="16"/>
      <c r="U289" s="16"/>
      <c r="V289" s="16"/>
      <c r="W289" s="16"/>
      <c r="X289" s="16"/>
      <c r="Y289" s="16"/>
      <c r="Z289" s="16"/>
      <c r="AA289" s="16"/>
      <c r="AB289" s="11"/>
    </row>
    <row r="290" spans="13:28">
      <c r="M290" s="16"/>
      <c r="N290" s="16"/>
      <c r="O290" s="16"/>
      <c r="T290" s="16"/>
      <c r="U290" s="16"/>
      <c r="V290" s="16"/>
      <c r="W290" s="16"/>
      <c r="X290" s="16"/>
      <c r="Y290" s="16"/>
      <c r="Z290" s="16"/>
      <c r="AA290" s="16"/>
      <c r="AB290" s="11"/>
    </row>
    <row r="291" spans="13:28">
      <c r="M291" s="16"/>
      <c r="N291" s="16"/>
      <c r="O291" s="16"/>
      <c r="T291" s="16"/>
      <c r="U291" s="16"/>
      <c r="V291" s="16"/>
      <c r="W291" s="16"/>
      <c r="X291" s="16"/>
      <c r="Y291" s="16"/>
      <c r="Z291" s="16"/>
      <c r="AA291" s="16"/>
      <c r="AB291" s="11"/>
    </row>
    <row r="292" spans="13:28">
      <c r="M292" s="16"/>
      <c r="N292" s="16"/>
      <c r="O292" s="16"/>
      <c r="T292" s="16"/>
      <c r="U292" s="16"/>
      <c r="V292" s="16"/>
      <c r="W292" s="16"/>
      <c r="X292" s="16"/>
      <c r="Y292" s="16"/>
      <c r="Z292" s="16"/>
      <c r="AA292" s="16"/>
      <c r="AB292" s="11"/>
    </row>
    <row r="293" spans="13:28">
      <c r="M293" s="16"/>
      <c r="N293" s="16"/>
      <c r="O293" s="16"/>
      <c r="T293" s="16"/>
      <c r="U293" s="16"/>
      <c r="V293" s="16"/>
      <c r="W293" s="16"/>
      <c r="X293" s="16"/>
      <c r="Y293" s="16"/>
      <c r="Z293" s="16"/>
      <c r="AA293" s="16"/>
      <c r="AB293" s="11"/>
    </row>
    <row r="294" spans="13:28">
      <c r="M294" s="16"/>
      <c r="N294" s="16"/>
      <c r="O294" s="16"/>
      <c r="T294" s="16"/>
      <c r="U294" s="16"/>
      <c r="V294" s="16"/>
      <c r="W294" s="16"/>
      <c r="X294" s="16"/>
      <c r="Y294" s="16"/>
      <c r="Z294" s="16"/>
      <c r="AA294" s="16"/>
      <c r="AB294" s="11"/>
    </row>
    <row r="295" spans="13:28">
      <c r="M295" s="16"/>
      <c r="N295" s="16"/>
      <c r="O295" s="16"/>
      <c r="T295" s="16"/>
      <c r="U295" s="16"/>
      <c r="V295" s="16"/>
      <c r="W295" s="16"/>
      <c r="X295" s="16"/>
      <c r="Y295" s="16"/>
      <c r="Z295" s="16"/>
      <c r="AA295" s="16"/>
      <c r="AB295" s="11"/>
    </row>
    <row r="296" spans="13:28">
      <c r="M296" s="16"/>
      <c r="N296" s="16"/>
      <c r="O296" s="16"/>
      <c r="T296" s="16"/>
      <c r="U296" s="16"/>
      <c r="V296" s="16"/>
      <c r="W296" s="16"/>
      <c r="X296" s="16"/>
      <c r="Y296" s="16"/>
      <c r="Z296" s="16"/>
      <c r="AA296" s="16"/>
      <c r="AB296" s="11"/>
    </row>
    <row r="297" spans="13:28">
      <c r="M297" s="16"/>
      <c r="N297" s="16"/>
      <c r="O297" s="16"/>
      <c r="T297" s="16"/>
      <c r="U297" s="16"/>
      <c r="V297" s="16"/>
      <c r="W297" s="16"/>
      <c r="X297" s="16"/>
      <c r="Y297" s="16"/>
      <c r="Z297" s="16"/>
      <c r="AA297" s="16"/>
      <c r="AB297" s="11"/>
    </row>
    <row r="298" spans="13:28">
      <c r="M298" s="16"/>
      <c r="N298" s="16"/>
      <c r="O298" s="16"/>
      <c r="T298" s="16"/>
      <c r="U298" s="16"/>
      <c r="V298" s="16"/>
      <c r="W298" s="16"/>
      <c r="X298" s="16"/>
      <c r="Y298" s="16"/>
      <c r="Z298" s="16"/>
      <c r="AA298" s="16"/>
      <c r="AB298" s="11"/>
    </row>
    <row r="299" spans="13:28">
      <c r="M299" s="16"/>
      <c r="N299" s="16"/>
      <c r="O299" s="16"/>
      <c r="T299" s="16"/>
      <c r="U299" s="16"/>
      <c r="V299" s="16"/>
      <c r="W299" s="16"/>
      <c r="X299" s="16"/>
      <c r="Y299" s="16"/>
      <c r="Z299" s="16"/>
      <c r="AA299" s="16"/>
      <c r="AB299" s="11"/>
    </row>
    <row r="300" spans="13:28">
      <c r="M300" s="16"/>
      <c r="N300" s="16"/>
      <c r="O300" s="16"/>
      <c r="T300" s="16"/>
      <c r="U300" s="16"/>
      <c r="V300" s="16"/>
      <c r="W300" s="16"/>
      <c r="X300" s="16"/>
      <c r="Y300" s="16"/>
      <c r="Z300" s="16"/>
      <c r="AA300" s="16"/>
      <c r="AB300" s="11"/>
    </row>
    <row r="301" spans="13:28">
      <c r="M301" s="16"/>
      <c r="N301" s="16"/>
      <c r="O301" s="16"/>
      <c r="T301" s="16"/>
      <c r="U301" s="16"/>
      <c r="V301" s="16"/>
      <c r="W301" s="16"/>
      <c r="X301" s="16"/>
      <c r="Y301" s="16"/>
      <c r="Z301" s="16"/>
      <c r="AA301" s="16"/>
      <c r="AB301" s="11"/>
    </row>
    <row r="302" spans="13:28">
      <c r="M302" s="16"/>
      <c r="N302" s="16"/>
      <c r="O302" s="16"/>
      <c r="T302" s="16"/>
      <c r="U302" s="16"/>
      <c r="V302" s="16"/>
      <c r="W302" s="16"/>
      <c r="X302" s="16"/>
      <c r="Y302" s="16"/>
      <c r="Z302" s="16"/>
      <c r="AA302" s="16"/>
      <c r="AB302" s="11"/>
    </row>
    <row r="303" spans="13:28">
      <c r="M303" s="16"/>
      <c r="N303" s="16"/>
      <c r="O303" s="16"/>
      <c r="T303" s="16"/>
      <c r="U303" s="16"/>
      <c r="V303" s="16"/>
      <c r="W303" s="16"/>
      <c r="X303" s="16"/>
      <c r="Y303" s="16"/>
      <c r="Z303" s="16"/>
      <c r="AA303" s="16"/>
      <c r="AB303" s="11"/>
    </row>
    <row r="304" spans="13:28">
      <c r="M304" s="16"/>
      <c r="N304" s="16"/>
      <c r="O304" s="16"/>
      <c r="T304" s="16"/>
      <c r="U304" s="16"/>
      <c r="V304" s="16"/>
      <c r="W304" s="16"/>
      <c r="X304" s="16"/>
      <c r="Y304" s="16"/>
      <c r="Z304" s="16"/>
      <c r="AA304" s="16"/>
      <c r="AB304" s="11"/>
    </row>
    <row r="305" spans="13:28">
      <c r="M305" s="16"/>
      <c r="N305" s="16"/>
      <c r="O305" s="16"/>
      <c r="T305" s="16"/>
      <c r="U305" s="16"/>
      <c r="V305" s="16"/>
      <c r="W305" s="16"/>
      <c r="X305" s="16"/>
      <c r="Y305" s="16"/>
      <c r="Z305" s="16"/>
      <c r="AA305" s="16"/>
      <c r="AB305" s="11"/>
    </row>
    <row r="306" spans="13:28">
      <c r="M306" s="16"/>
      <c r="N306" s="16"/>
      <c r="O306" s="16"/>
      <c r="T306" s="16"/>
      <c r="U306" s="16"/>
      <c r="V306" s="16"/>
      <c r="W306" s="16"/>
      <c r="X306" s="16"/>
      <c r="Y306" s="16"/>
      <c r="Z306" s="16"/>
      <c r="AA306" s="16"/>
      <c r="AB306" s="11"/>
    </row>
    <row r="307" spans="13:28">
      <c r="M307" s="16"/>
      <c r="N307" s="16"/>
      <c r="O307" s="16"/>
      <c r="T307" s="16"/>
      <c r="U307" s="16"/>
      <c r="V307" s="16"/>
      <c r="W307" s="16"/>
      <c r="X307" s="16"/>
      <c r="Y307" s="16"/>
      <c r="Z307" s="16"/>
      <c r="AA307" s="16"/>
      <c r="AB307" s="11"/>
    </row>
    <row r="308" spans="13:28">
      <c r="M308" s="16"/>
      <c r="N308" s="16"/>
      <c r="O308" s="16"/>
      <c r="T308" s="16"/>
      <c r="U308" s="16"/>
      <c r="V308" s="16"/>
      <c r="W308" s="16"/>
      <c r="X308" s="16"/>
      <c r="Y308" s="16"/>
      <c r="Z308" s="16"/>
      <c r="AA308" s="16"/>
      <c r="AB308" s="11"/>
    </row>
    <row r="309" spans="13:28">
      <c r="M309" s="16"/>
      <c r="N309" s="16"/>
      <c r="O309" s="16"/>
      <c r="T309" s="16"/>
      <c r="U309" s="16"/>
      <c r="V309" s="16"/>
      <c r="W309" s="16"/>
      <c r="X309" s="16"/>
      <c r="Y309" s="16"/>
      <c r="Z309" s="16"/>
      <c r="AA309" s="16"/>
      <c r="AB309" s="11"/>
    </row>
    <row r="310" spans="13:28">
      <c r="M310" s="16"/>
      <c r="N310" s="16"/>
      <c r="O310" s="16"/>
      <c r="T310" s="16"/>
      <c r="U310" s="16"/>
      <c r="V310" s="16"/>
      <c r="W310" s="16"/>
      <c r="X310" s="16"/>
      <c r="Y310" s="16"/>
      <c r="Z310" s="16"/>
      <c r="AA310" s="16"/>
      <c r="AB310" s="11"/>
    </row>
    <row r="311" spans="13:28">
      <c r="M311" s="16"/>
      <c r="N311" s="16"/>
      <c r="O311" s="16"/>
      <c r="T311" s="16"/>
      <c r="U311" s="16"/>
      <c r="V311" s="16"/>
      <c r="W311" s="16"/>
      <c r="X311" s="16"/>
      <c r="Y311" s="16"/>
      <c r="Z311" s="16"/>
      <c r="AA311" s="16"/>
      <c r="AB311" s="11"/>
    </row>
    <row r="312" spans="13:28">
      <c r="M312" s="16"/>
      <c r="N312" s="16"/>
      <c r="O312" s="16"/>
      <c r="T312" s="16"/>
      <c r="U312" s="16"/>
      <c r="V312" s="16"/>
      <c r="W312" s="16"/>
      <c r="X312" s="16"/>
      <c r="Y312" s="16"/>
      <c r="Z312" s="16"/>
      <c r="AA312" s="16"/>
      <c r="AB312" s="11"/>
    </row>
    <row r="313" spans="13:28">
      <c r="M313" s="16"/>
      <c r="N313" s="16"/>
      <c r="O313" s="16"/>
      <c r="T313" s="16"/>
      <c r="U313" s="16"/>
      <c r="V313" s="16"/>
      <c r="W313" s="16"/>
      <c r="X313" s="16"/>
      <c r="Y313" s="16"/>
      <c r="Z313" s="16"/>
      <c r="AA313" s="16"/>
      <c r="AB313" s="11"/>
    </row>
    <row r="314" spans="13:28">
      <c r="M314" s="16"/>
      <c r="N314" s="16"/>
      <c r="O314" s="16"/>
      <c r="T314" s="16"/>
      <c r="U314" s="16"/>
      <c r="V314" s="16"/>
      <c r="W314" s="16"/>
      <c r="X314" s="16"/>
      <c r="Y314" s="16"/>
      <c r="Z314" s="16"/>
      <c r="AA314" s="16"/>
      <c r="AB314" s="11"/>
    </row>
    <row r="315" spans="13:28">
      <c r="M315" s="16"/>
      <c r="N315" s="16"/>
      <c r="O315" s="16"/>
      <c r="T315" s="16"/>
      <c r="U315" s="16"/>
      <c r="V315" s="16"/>
      <c r="W315" s="16"/>
      <c r="X315" s="16"/>
      <c r="Y315" s="16"/>
      <c r="Z315" s="16"/>
      <c r="AA315" s="16"/>
      <c r="AB315" s="11"/>
    </row>
    <row r="316" spans="13:28">
      <c r="M316" s="16"/>
      <c r="N316" s="16"/>
      <c r="O316" s="16"/>
      <c r="T316" s="16"/>
      <c r="U316" s="16"/>
      <c r="V316" s="16"/>
      <c r="W316" s="16"/>
      <c r="X316" s="16"/>
      <c r="Y316" s="16"/>
      <c r="Z316" s="16"/>
      <c r="AA316" s="16"/>
      <c r="AB316" s="11"/>
    </row>
    <row r="317" spans="13:28">
      <c r="M317" s="16"/>
      <c r="N317" s="16"/>
      <c r="O317" s="16"/>
      <c r="T317" s="16"/>
      <c r="U317" s="16"/>
      <c r="V317" s="16"/>
      <c r="W317" s="16"/>
      <c r="X317" s="16"/>
      <c r="Y317" s="16"/>
      <c r="Z317" s="16"/>
      <c r="AA317" s="16"/>
      <c r="AB317" s="11"/>
    </row>
    <row r="318" spans="13:28">
      <c r="M318" s="16"/>
      <c r="N318" s="16"/>
      <c r="O318" s="16"/>
      <c r="T318" s="16"/>
      <c r="U318" s="16"/>
      <c r="V318" s="16"/>
      <c r="W318" s="16"/>
      <c r="X318" s="16"/>
      <c r="Y318" s="16"/>
      <c r="Z318" s="16"/>
      <c r="AA318" s="16"/>
      <c r="AB318" s="11"/>
    </row>
    <row r="319" spans="13:28">
      <c r="M319" s="16"/>
      <c r="N319" s="16"/>
      <c r="O319" s="16"/>
      <c r="T319" s="16"/>
      <c r="U319" s="16"/>
      <c r="V319" s="16"/>
      <c r="W319" s="16"/>
      <c r="X319" s="16"/>
      <c r="Y319" s="16"/>
      <c r="Z319" s="16"/>
      <c r="AA319" s="16"/>
      <c r="AB319" s="11"/>
    </row>
    <row r="320" spans="13:28">
      <c r="M320" s="16"/>
      <c r="N320" s="16"/>
      <c r="O320" s="16"/>
      <c r="T320" s="16"/>
      <c r="U320" s="16"/>
      <c r="V320" s="16"/>
      <c r="W320" s="16"/>
      <c r="X320" s="16"/>
      <c r="Y320" s="16"/>
      <c r="Z320" s="16"/>
      <c r="AA320" s="16"/>
      <c r="AB320" s="11"/>
    </row>
    <row r="321" spans="13:28">
      <c r="M321" s="16"/>
      <c r="N321" s="16"/>
      <c r="O321" s="16"/>
      <c r="T321" s="16"/>
      <c r="U321" s="16"/>
      <c r="V321" s="16"/>
      <c r="W321" s="16"/>
      <c r="X321" s="16"/>
      <c r="Y321" s="16"/>
      <c r="Z321" s="16"/>
      <c r="AA321" s="16"/>
      <c r="AB321" s="11"/>
    </row>
    <row r="322" spans="13:28">
      <c r="M322" s="16"/>
      <c r="N322" s="16"/>
      <c r="O322" s="16"/>
      <c r="T322" s="16"/>
      <c r="U322" s="16"/>
      <c r="V322" s="16"/>
      <c r="W322" s="16"/>
      <c r="X322" s="16"/>
      <c r="Y322" s="16"/>
      <c r="Z322" s="16"/>
      <c r="AA322" s="16"/>
      <c r="AB322" s="11"/>
    </row>
    <row r="323" spans="13:28">
      <c r="M323" s="16"/>
      <c r="N323" s="16"/>
      <c r="O323" s="16"/>
      <c r="T323" s="16"/>
      <c r="U323" s="16"/>
      <c r="V323" s="16"/>
      <c r="W323" s="16"/>
      <c r="X323" s="16"/>
      <c r="Y323" s="16"/>
      <c r="Z323" s="16"/>
      <c r="AA323" s="16"/>
      <c r="AB323" s="11"/>
    </row>
    <row r="324" spans="13:28">
      <c r="M324" s="16"/>
      <c r="N324" s="16"/>
      <c r="O324" s="16"/>
      <c r="T324" s="16"/>
      <c r="U324" s="16"/>
      <c r="V324" s="16"/>
      <c r="W324" s="16"/>
      <c r="X324" s="16"/>
      <c r="Y324" s="16"/>
      <c r="Z324" s="16"/>
      <c r="AA324" s="16"/>
      <c r="AB324" s="11"/>
    </row>
    <row r="325" spans="13:28">
      <c r="M325" s="16"/>
      <c r="N325" s="16"/>
      <c r="O325" s="16"/>
      <c r="T325" s="16"/>
      <c r="U325" s="16"/>
      <c r="V325" s="16"/>
      <c r="W325" s="16"/>
      <c r="X325" s="16"/>
      <c r="Y325" s="16"/>
      <c r="Z325" s="16"/>
      <c r="AA325" s="16"/>
      <c r="AB325" s="11"/>
    </row>
    <row r="326" spans="13:28">
      <c r="M326" s="16"/>
      <c r="N326" s="16"/>
      <c r="O326" s="16"/>
      <c r="T326" s="16"/>
      <c r="U326" s="16"/>
      <c r="V326" s="16"/>
      <c r="W326" s="16"/>
      <c r="X326" s="16"/>
      <c r="Y326" s="16"/>
      <c r="Z326" s="16"/>
      <c r="AA326" s="16"/>
      <c r="AB326" s="11"/>
    </row>
    <row r="327" spans="13:28">
      <c r="M327" s="16"/>
      <c r="N327" s="16"/>
      <c r="O327" s="16"/>
      <c r="T327" s="16"/>
      <c r="U327" s="16"/>
      <c r="V327" s="16"/>
      <c r="W327" s="16"/>
      <c r="X327" s="16"/>
      <c r="Y327" s="16"/>
      <c r="Z327" s="16"/>
      <c r="AA327" s="16"/>
      <c r="AB327" s="11"/>
    </row>
    <row r="328" spans="13:28">
      <c r="M328" s="16"/>
      <c r="N328" s="16"/>
      <c r="O328" s="16"/>
      <c r="T328" s="16"/>
      <c r="U328" s="16"/>
      <c r="V328" s="16"/>
      <c r="W328" s="16"/>
      <c r="X328" s="16"/>
      <c r="Y328" s="16"/>
      <c r="Z328" s="16"/>
      <c r="AA328" s="16"/>
      <c r="AB328" s="11"/>
    </row>
    <row r="329" spans="13:28">
      <c r="M329" s="16"/>
      <c r="N329" s="16"/>
      <c r="O329" s="16"/>
      <c r="T329" s="16"/>
      <c r="U329" s="16"/>
      <c r="V329" s="16"/>
      <c r="W329" s="16"/>
      <c r="X329" s="16"/>
      <c r="Y329" s="16"/>
      <c r="Z329" s="16"/>
      <c r="AA329" s="16"/>
      <c r="AB329" s="11"/>
    </row>
    <row r="330" spans="13:28">
      <c r="M330" s="16"/>
      <c r="N330" s="16"/>
      <c r="O330" s="16"/>
      <c r="T330" s="16"/>
      <c r="U330" s="16"/>
      <c r="V330" s="16"/>
      <c r="W330" s="16"/>
      <c r="X330" s="16"/>
      <c r="Y330" s="16"/>
      <c r="Z330" s="16"/>
      <c r="AA330" s="16"/>
      <c r="AB330" s="11"/>
    </row>
    <row r="331" spans="13:28">
      <c r="M331" s="16"/>
      <c r="N331" s="16"/>
      <c r="O331" s="16"/>
      <c r="T331" s="16"/>
      <c r="U331" s="16"/>
      <c r="V331" s="16"/>
      <c r="W331" s="16"/>
      <c r="X331" s="16"/>
      <c r="Y331" s="16"/>
      <c r="Z331" s="16"/>
      <c r="AA331" s="16"/>
      <c r="AB331" s="11"/>
    </row>
    <row r="332" spans="13:28">
      <c r="M332" s="16"/>
      <c r="N332" s="16"/>
      <c r="O332" s="16"/>
      <c r="T332" s="16"/>
      <c r="U332" s="16"/>
      <c r="V332" s="16"/>
      <c r="W332" s="16"/>
      <c r="X332" s="16"/>
      <c r="Y332" s="16"/>
      <c r="Z332" s="16"/>
      <c r="AA332" s="16"/>
      <c r="AB332" s="11"/>
    </row>
    <row r="333" spans="13:28">
      <c r="M333" s="16"/>
      <c r="N333" s="16"/>
      <c r="O333" s="16"/>
      <c r="T333" s="16"/>
      <c r="U333" s="16"/>
      <c r="V333" s="16"/>
      <c r="W333" s="16"/>
      <c r="X333" s="16"/>
      <c r="Y333" s="16"/>
      <c r="Z333" s="16"/>
      <c r="AA333" s="16"/>
      <c r="AB333" s="11"/>
    </row>
    <row r="334" spans="13:28">
      <c r="M334" s="16"/>
      <c r="N334" s="16"/>
      <c r="O334" s="16"/>
      <c r="T334" s="16"/>
      <c r="U334" s="16"/>
      <c r="V334" s="16"/>
      <c r="W334" s="16"/>
      <c r="X334" s="16"/>
      <c r="Y334" s="16"/>
      <c r="Z334" s="16"/>
      <c r="AA334" s="16"/>
      <c r="AB334" s="11"/>
    </row>
    <row r="335" spans="13:28">
      <c r="M335" s="16"/>
      <c r="N335" s="16"/>
      <c r="O335" s="16"/>
      <c r="T335" s="16"/>
      <c r="U335" s="16"/>
      <c r="V335" s="16"/>
      <c r="W335" s="16"/>
      <c r="X335" s="16"/>
      <c r="Y335" s="16"/>
      <c r="Z335" s="16"/>
      <c r="AA335" s="16"/>
      <c r="AB335" s="11"/>
    </row>
    <row r="336" spans="13:28">
      <c r="M336" s="16"/>
      <c r="N336" s="16"/>
      <c r="O336" s="16"/>
      <c r="T336" s="16"/>
      <c r="U336" s="16"/>
      <c r="V336" s="16"/>
      <c r="W336" s="16"/>
      <c r="X336" s="16"/>
      <c r="Y336" s="16"/>
      <c r="Z336" s="16"/>
      <c r="AA336" s="16"/>
      <c r="AB336" s="11"/>
    </row>
    <row r="337" spans="13:28">
      <c r="M337" s="16"/>
      <c r="N337" s="16"/>
      <c r="O337" s="16"/>
      <c r="T337" s="16"/>
      <c r="U337" s="16"/>
      <c r="V337" s="16"/>
      <c r="W337" s="16"/>
      <c r="X337" s="16"/>
      <c r="Y337" s="16"/>
      <c r="Z337" s="16"/>
      <c r="AA337" s="16"/>
      <c r="AB337" s="11"/>
    </row>
    <row r="338" spans="13:28">
      <c r="M338" s="16"/>
      <c r="N338" s="16"/>
      <c r="O338" s="16"/>
      <c r="T338" s="16"/>
      <c r="U338" s="16"/>
      <c r="V338" s="16"/>
      <c r="W338" s="16"/>
      <c r="X338" s="16"/>
      <c r="Y338" s="16"/>
      <c r="Z338" s="16"/>
      <c r="AA338" s="16"/>
      <c r="AB338" s="11"/>
    </row>
    <row r="339" spans="13:28">
      <c r="M339" s="16"/>
      <c r="N339" s="16"/>
      <c r="O339" s="16"/>
      <c r="T339" s="16"/>
      <c r="U339" s="16"/>
      <c r="V339" s="16"/>
      <c r="W339" s="16"/>
      <c r="X339" s="16"/>
      <c r="Y339" s="16"/>
      <c r="Z339" s="16"/>
      <c r="AA339" s="16"/>
      <c r="AB339" s="11"/>
    </row>
    <row r="340" spans="13:28">
      <c r="M340" s="16"/>
      <c r="N340" s="16"/>
      <c r="O340" s="16"/>
      <c r="T340" s="16"/>
      <c r="U340" s="16"/>
      <c r="V340" s="16"/>
      <c r="W340" s="16"/>
      <c r="X340" s="16"/>
      <c r="Y340" s="16"/>
      <c r="Z340" s="16"/>
      <c r="AA340" s="16"/>
      <c r="AB340" s="11"/>
    </row>
    <row r="341" spans="13:28">
      <c r="M341" s="16"/>
      <c r="N341" s="16"/>
      <c r="O341" s="16"/>
      <c r="T341" s="16"/>
      <c r="U341" s="16"/>
      <c r="V341" s="16"/>
      <c r="W341" s="16"/>
      <c r="X341" s="16"/>
      <c r="Y341" s="16"/>
      <c r="Z341" s="16"/>
      <c r="AA341" s="16"/>
      <c r="AB341" s="11"/>
    </row>
    <row r="342" spans="13:28">
      <c r="M342" s="16"/>
      <c r="N342" s="16"/>
      <c r="O342" s="16"/>
      <c r="T342" s="16"/>
      <c r="U342" s="16"/>
      <c r="V342" s="16"/>
      <c r="W342" s="16"/>
      <c r="X342" s="16"/>
      <c r="Y342" s="16"/>
      <c r="Z342" s="16"/>
      <c r="AA342" s="16"/>
      <c r="AB342" s="11"/>
    </row>
    <row r="343" spans="13:28">
      <c r="M343" s="16"/>
      <c r="N343" s="16"/>
      <c r="O343" s="16"/>
      <c r="T343" s="16"/>
      <c r="U343" s="16"/>
      <c r="V343" s="16"/>
      <c r="W343" s="16"/>
      <c r="X343" s="16"/>
      <c r="Y343" s="16"/>
      <c r="Z343" s="16"/>
      <c r="AA343" s="16"/>
      <c r="AB343" s="11"/>
    </row>
    <row r="344" spans="13:28">
      <c r="M344" s="16"/>
      <c r="N344" s="16"/>
      <c r="O344" s="16"/>
      <c r="T344" s="16"/>
      <c r="U344" s="16"/>
      <c r="V344" s="16"/>
      <c r="W344" s="16"/>
      <c r="X344" s="16"/>
      <c r="Y344" s="16"/>
      <c r="Z344" s="16"/>
      <c r="AA344" s="16"/>
      <c r="AB344" s="11"/>
    </row>
    <row r="345" spans="13:28">
      <c r="M345" s="16"/>
      <c r="N345" s="16"/>
      <c r="O345" s="16"/>
      <c r="T345" s="16"/>
      <c r="U345" s="16"/>
      <c r="V345" s="16"/>
      <c r="W345" s="16"/>
      <c r="X345" s="16"/>
      <c r="Y345" s="16"/>
      <c r="Z345" s="16"/>
      <c r="AA345" s="16"/>
      <c r="AB345" s="11"/>
    </row>
    <row r="346" spans="13:28">
      <c r="M346" s="16"/>
      <c r="N346" s="16"/>
      <c r="O346" s="16"/>
      <c r="T346" s="16"/>
      <c r="U346" s="16"/>
      <c r="V346" s="16"/>
      <c r="W346" s="16"/>
      <c r="X346" s="16"/>
      <c r="Y346" s="16"/>
      <c r="Z346" s="16"/>
      <c r="AA346" s="16"/>
      <c r="AB346" s="11"/>
    </row>
    <row r="347" spans="13:28">
      <c r="M347" s="16"/>
      <c r="N347" s="16"/>
      <c r="O347" s="16"/>
      <c r="T347" s="16"/>
      <c r="U347" s="16"/>
      <c r="V347" s="16"/>
      <c r="W347" s="16"/>
      <c r="X347" s="16"/>
      <c r="Y347" s="16"/>
      <c r="Z347" s="16"/>
      <c r="AA347" s="16"/>
      <c r="AB347" s="11"/>
    </row>
    <row r="348" spans="13:28">
      <c r="M348" s="16"/>
      <c r="N348" s="16"/>
      <c r="O348" s="16"/>
      <c r="T348" s="16"/>
      <c r="U348" s="16"/>
      <c r="V348" s="16"/>
      <c r="W348" s="16"/>
      <c r="X348" s="16"/>
      <c r="Y348" s="16"/>
      <c r="Z348" s="16"/>
      <c r="AA348" s="16"/>
      <c r="AB348" s="11"/>
    </row>
    <row r="349" spans="13:28">
      <c r="M349" s="16"/>
      <c r="N349" s="16"/>
      <c r="O349" s="16"/>
      <c r="T349" s="16"/>
      <c r="U349" s="16"/>
      <c r="V349" s="16"/>
      <c r="W349" s="16"/>
      <c r="X349" s="16"/>
      <c r="Y349" s="16"/>
      <c r="Z349" s="16"/>
      <c r="AA349" s="16"/>
      <c r="AB349" s="11"/>
    </row>
    <row r="350" spans="13:28">
      <c r="M350" s="16"/>
      <c r="N350" s="16"/>
      <c r="O350" s="16"/>
      <c r="T350" s="16"/>
      <c r="U350" s="16"/>
      <c r="V350" s="16"/>
      <c r="W350" s="16"/>
      <c r="X350" s="16"/>
      <c r="Y350" s="16"/>
      <c r="Z350" s="16"/>
      <c r="AA350" s="16"/>
      <c r="AB350" s="11"/>
    </row>
    <row r="351" spans="13:28">
      <c r="M351" s="16"/>
      <c r="N351" s="16"/>
      <c r="O351" s="16"/>
      <c r="T351" s="16"/>
      <c r="U351" s="16"/>
      <c r="V351" s="16"/>
      <c r="W351" s="16"/>
      <c r="X351" s="16"/>
      <c r="Y351" s="16"/>
      <c r="Z351" s="16"/>
      <c r="AA351" s="16"/>
      <c r="AB351" s="11"/>
    </row>
    <row r="352" spans="13:28">
      <c r="M352" s="16"/>
      <c r="N352" s="16"/>
      <c r="O352" s="16"/>
      <c r="T352" s="16"/>
      <c r="U352" s="16"/>
      <c r="V352" s="16"/>
      <c r="W352" s="16"/>
      <c r="X352" s="16"/>
      <c r="Y352" s="16"/>
      <c r="Z352" s="16"/>
      <c r="AA352" s="16"/>
      <c r="AB352" s="11"/>
    </row>
    <row r="353" spans="13:28">
      <c r="M353" s="16"/>
      <c r="N353" s="16"/>
      <c r="O353" s="16"/>
      <c r="T353" s="16"/>
      <c r="U353" s="16"/>
      <c r="V353" s="16"/>
      <c r="W353" s="16"/>
      <c r="X353" s="16"/>
      <c r="Y353" s="16"/>
      <c r="Z353" s="16"/>
      <c r="AA353" s="16"/>
      <c r="AB353" s="11"/>
    </row>
    <row r="354" spans="13:28">
      <c r="M354" s="16"/>
      <c r="N354" s="16"/>
      <c r="O354" s="16"/>
      <c r="T354" s="16"/>
      <c r="U354" s="16"/>
      <c r="V354" s="16"/>
      <c r="W354" s="16"/>
      <c r="X354" s="16"/>
      <c r="Y354" s="16"/>
      <c r="Z354" s="16"/>
      <c r="AA354" s="16"/>
      <c r="AB354" s="11"/>
    </row>
    <row r="355" spans="13:28">
      <c r="M355" s="16"/>
      <c r="N355" s="16"/>
      <c r="O355" s="16"/>
      <c r="T355" s="16"/>
      <c r="U355" s="16"/>
      <c r="V355" s="16"/>
      <c r="W355" s="16"/>
      <c r="X355" s="16"/>
      <c r="Y355" s="16"/>
      <c r="Z355" s="16"/>
      <c r="AA355" s="16"/>
      <c r="AB355" s="11"/>
    </row>
    <row r="356" spans="13:28">
      <c r="M356" s="16"/>
      <c r="N356" s="16"/>
      <c r="O356" s="16"/>
      <c r="T356" s="16"/>
      <c r="U356" s="16"/>
      <c r="V356" s="16"/>
      <c r="W356" s="16"/>
      <c r="X356" s="16"/>
      <c r="Y356" s="16"/>
      <c r="Z356" s="16"/>
      <c r="AA356" s="16"/>
      <c r="AB356" s="11"/>
    </row>
    <row r="357" spans="13:28">
      <c r="M357" s="16"/>
      <c r="N357" s="16"/>
      <c r="O357" s="16"/>
      <c r="T357" s="16"/>
      <c r="U357" s="16"/>
      <c r="V357" s="16"/>
      <c r="W357" s="16"/>
      <c r="X357" s="16"/>
      <c r="Y357" s="16"/>
      <c r="Z357" s="16"/>
      <c r="AA357" s="16"/>
      <c r="AB357" s="11"/>
    </row>
    <row r="358" spans="13:28">
      <c r="M358" s="16"/>
      <c r="N358" s="16"/>
      <c r="O358" s="16"/>
      <c r="T358" s="16"/>
      <c r="U358" s="16"/>
      <c r="V358" s="16"/>
      <c r="W358" s="16"/>
      <c r="X358" s="16"/>
      <c r="Y358" s="16"/>
      <c r="Z358" s="16"/>
      <c r="AA358" s="16"/>
      <c r="AB358" s="11"/>
    </row>
    <row r="359" spans="13:28">
      <c r="M359" s="16"/>
      <c r="N359" s="16"/>
      <c r="O359" s="16"/>
      <c r="T359" s="16"/>
      <c r="U359" s="16"/>
      <c r="V359" s="16"/>
      <c r="W359" s="16"/>
      <c r="X359" s="16"/>
      <c r="Y359" s="16"/>
      <c r="Z359" s="16"/>
      <c r="AA359" s="16"/>
      <c r="AB359" s="11"/>
    </row>
    <row r="360" spans="13:28">
      <c r="M360" s="16"/>
      <c r="N360" s="16"/>
      <c r="O360" s="16"/>
      <c r="T360" s="16"/>
      <c r="U360" s="16"/>
      <c r="V360" s="16"/>
      <c r="W360" s="16"/>
      <c r="X360" s="16"/>
      <c r="Y360" s="16"/>
      <c r="Z360" s="16"/>
      <c r="AA360" s="16"/>
      <c r="AB360" s="11"/>
    </row>
    <row r="361" spans="13:28">
      <c r="M361" s="16"/>
      <c r="N361" s="16"/>
      <c r="O361" s="16"/>
      <c r="T361" s="16"/>
      <c r="U361" s="16"/>
      <c r="V361" s="16"/>
      <c r="W361" s="16"/>
      <c r="X361" s="16"/>
      <c r="Y361" s="16"/>
      <c r="Z361" s="16"/>
      <c r="AA361" s="16"/>
      <c r="AB361" s="11"/>
    </row>
    <row r="362" spans="13:28">
      <c r="M362" s="16"/>
      <c r="N362" s="16"/>
      <c r="O362" s="16"/>
      <c r="T362" s="16"/>
      <c r="U362" s="16"/>
      <c r="V362" s="16"/>
      <c r="W362" s="16"/>
      <c r="X362" s="16"/>
      <c r="Y362" s="16"/>
      <c r="Z362" s="16"/>
      <c r="AA362" s="16"/>
      <c r="AB362" s="11"/>
    </row>
    <row r="363" spans="13:28">
      <c r="M363" s="16"/>
      <c r="N363" s="16"/>
      <c r="O363" s="16"/>
      <c r="T363" s="16"/>
      <c r="U363" s="16"/>
      <c r="V363" s="16"/>
      <c r="W363" s="16"/>
      <c r="X363" s="16"/>
      <c r="Y363" s="16"/>
      <c r="Z363" s="16"/>
      <c r="AA363" s="16"/>
      <c r="AB363" s="11"/>
    </row>
    <row r="364" spans="13:28">
      <c r="M364" s="16"/>
      <c r="N364" s="16"/>
      <c r="O364" s="16"/>
      <c r="T364" s="16"/>
      <c r="U364" s="16"/>
      <c r="V364" s="16"/>
      <c r="W364" s="16"/>
      <c r="X364" s="16"/>
      <c r="Y364" s="16"/>
      <c r="Z364" s="16"/>
      <c r="AA364" s="16"/>
      <c r="AB364" s="11"/>
    </row>
    <row r="365" spans="13:28">
      <c r="M365" s="16"/>
      <c r="N365" s="16"/>
      <c r="O365" s="16"/>
      <c r="T365" s="16"/>
      <c r="U365" s="16"/>
      <c r="V365" s="16"/>
      <c r="W365" s="16"/>
      <c r="X365" s="16"/>
      <c r="Y365" s="16"/>
      <c r="Z365" s="16"/>
      <c r="AA365" s="16"/>
      <c r="AB365" s="11"/>
    </row>
    <row r="366" spans="13:28">
      <c r="M366" s="16"/>
      <c r="N366" s="16"/>
      <c r="O366" s="16"/>
      <c r="T366" s="16"/>
      <c r="U366" s="16"/>
      <c r="V366" s="16"/>
      <c r="W366" s="16"/>
      <c r="X366" s="16"/>
      <c r="Y366" s="16"/>
      <c r="Z366" s="16"/>
      <c r="AA366" s="16"/>
      <c r="AB366" s="11"/>
    </row>
    <row r="367" spans="13:28">
      <c r="M367" s="16"/>
      <c r="N367" s="16"/>
      <c r="O367" s="16"/>
      <c r="T367" s="16"/>
      <c r="U367" s="16"/>
      <c r="V367" s="16"/>
      <c r="W367" s="16"/>
      <c r="X367" s="16"/>
      <c r="Y367" s="16"/>
      <c r="Z367" s="16"/>
      <c r="AA367" s="16"/>
      <c r="AB367" s="11"/>
    </row>
    <row r="368" spans="13:28">
      <c r="M368" s="16"/>
      <c r="N368" s="16"/>
      <c r="O368" s="16"/>
      <c r="T368" s="16"/>
      <c r="U368" s="16"/>
      <c r="V368" s="16"/>
      <c r="W368" s="16"/>
      <c r="X368" s="16"/>
      <c r="Y368" s="16"/>
      <c r="Z368" s="16"/>
      <c r="AA368" s="16"/>
      <c r="AB368" s="11"/>
    </row>
    <row r="369" spans="13:28">
      <c r="M369" s="16"/>
      <c r="N369" s="16"/>
      <c r="O369" s="16"/>
      <c r="T369" s="16"/>
      <c r="U369" s="16"/>
      <c r="V369" s="16"/>
      <c r="W369" s="16"/>
      <c r="X369" s="16"/>
      <c r="Y369" s="16"/>
      <c r="Z369" s="16"/>
      <c r="AA369" s="16"/>
      <c r="AB369" s="11"/>
    </row>
    <row r="370" spans="13:28">
      <c r="M370" s="16"/>
      <c r="N370" s="16"/>
      <c r="O370" s="16"/>
      <c r="T370" s="16"/>
      <c r="U370" s="16"/>
      <c r="V370" s="16"/>
      <c r="W370" s="16"/>
      <c r="X370" s="16"/>
      <c r="Y370" s="16"/>
      <c r="Z370" s="16"/>
      <c r="AA370" s="16"/>
      <c r="AB370" s="11"/>
    </row>
    <row r="371" spans="13:28">
      <c r="M371" s="16"/>
      <c r="N371" s="16"/>
      <c r="O371" s="16"/>
      <c r="T371" s="16"/>
      <c r="U371" s="16"/>
      <c r="V371" s="16"/>
      <c r="W371" s="16"/>
      <c r="X371" s="16"/>
      <c r="Y371" s="16"/>
      <c r="Z371" s="16"/>
      <c r="AA371" s="16"/>
      <c r="AB371" s="11"/>
    </row>
    <row r="372" spans="13:28">
      <c r="M372" s="16"/>
      <c r="N372" s="16"/>
      <c r="O372" s="16"/>
      <c r="T372" s="16"/>
      <c r="U372" s="16"/>
      <c r="V372" s="16"/>
      <c r="W372" s="16"/>
      <c r="X372" s="16"/>
      <c r="Y372" s="16"/>
      <c r="Z372" s="16"/>
      <c r="AA372" s="16"/>
      <c r="AB372" s="11"/>
    </row>
    <row r="373" spans="13:28">
      <c r="M373" s="16"/>
      <c r="N373" s="16"/>
      <c r="O373" s="16"/>
      <c r="T373" s="16"/>
      <c r="U373" s="16"/>
      <c r="V373" s="16"/>
      <c r="W373" s="16"/>
      <c r="X373" s="16"/>
      <c r="Y373" s="16"/>
      <c r="Z373" s="16"/>
      <c r="AA373" s="16"/>
      <c r="AB373" s="11"/>
    </row>
    <row r="374" spans="13:28">
      <c r="M374" s="16"/>
      <c r="N374" s="16"/>
      <c r="O374" s="16"/>
      <c r="T374" s="16"/>
      <c r="U374" s="16"/>
      <c r="V374" s="16"/>
      <c r="W374" s="16"/>
      <c r="X374" s="16"/>
      <c r="Y374" s="16"/>
      <c r="Z374" s="16"/>
      <c r="AA374" s="16"/>
      <c r="AB374" s="11"/>
    </row>
    <row r="375" spans="13:28">
      <c r="M375" s="16"/>
      <c r="N375" s="16"/>
      <c r="O375" s="16"/>
      <c r="T375" s="16"/>
      <c r="U375" s="16"/>
      <c r="V375" s="16"/>
      <c r="W375" s="16"/>
      <c r="X375" s="16"/>
      <c r="Y375" s="16"/>
      <c r="Z375" s="16"/>
      <c r="AA375" s="16"/>
      <c r="AB375" s="11"/>
    </row>
    <row r="376" spans="13:28">
      <c r="M376" s="16"/>
      <c r="N376" s="16"/>
      <c r="O376" s="16"/>
      <c r="T376" s="16"/>
      <c r="U376" s="16"/>
      <c r="V376" s="16"/>
      <c r="W376" s="16"/>
      <c r="X376" s="16"/>
      <c r="Y376" s="16"/>
      <c r="Z376" s="16"/>
      <c r="AA376" s="16"/>
      <c r="AB376" s="11"/>
    </row>
    <row r="377" spans="13:28">
      <c r="M377" s="16"/>
      <c r="N377" s="16"/>
      <c r="O377" s="16"/>
      <c r="T377" s="16"/>
      <c r="U377" s="16"/>
      <c r="V377" s="16"/>
      <c r="W377" s="16"/>
      <c r="X377" s="16"/>
      <c r="Y377" s="16"/>
      <c r="Z377" s="16"/>
      <c r="AA377" s="16"/>
      <c r="AB377" s="11"/>
    </row>
    <row r="378" spans="13:28">
      <c r="M378" s="16"/>
      <c r="N378" s="16"/>
      <c r="O378" s="16"/>
      <c r="T378" s="16"/>
      <c r="U378" s="16"/>
      <c r="V378" s="16"/>
      <c r="W378" s="16"/>
      <c r="X378" s="16"/>
      <c r="Y378" s="16"/>
      <c r="Z378" s="16"/>
      <c r="AA378" s="16"/>
      <c r="AB378" s="11"/>
    </row>
    <row r="379" spans="13:28">
      <c r="M379" s="16"/>
      <c r="N379" s="16"/>
      <c r="O379" s="16"/>
      <c r="T379" s="16"/>
      <c r="U379" s="16"/>
      <c r="V379" s="16"/>
      <c r="W379" s="16"/>
      <c r="X379" s="16"/>
      <c r="Y379" s="16"/>
      <c r="Z379" s="16"/>
      <c r="AA379" s="16"/>
      <c r="AB379" s="11"/>
    </row>
    <row r="380" spans="13:28">
      <c r="M380" s="16"/>
      <c r="N380" s="16"/>
      <c r="O380" s="16"/>
      <c r="T380" s="16"/>
      <c r="U380" s="16"/>
      <c r="V380" s="16"/>
      <c r="W380" s="16"/>
      <c r="X380" s="16"/>
      <c r="Y380" s="16"/>
      <c r="Z380" s="16"/>
      <c r="AA380" s="16"/>
      <c r="AB380" s="11"/>
    </row>
    <row r="381" spans="13:28">
      <c r="M381" s="16"/>
      <c r="N381" s="16"/>
      <c r="O381" s="16"/>
      <c r="T381" s="16"/>
      <c r="U381" s="16"/>
      <c r="V381" s="16"/>
      <c r="W381" s="16"/>
      <c r="X381" s="16"/>
      <c r="Y381" s="16"/>
      <c r="Z381" s="16"/>
      <c r="AA381" s="16"/>
      <c r="AB381" s="11"/>
    </row>
    <row r="382" spans="13:28">
      <c r="M382" s="16"/>
      <c r="N382" s="16"/>
      <c r="O382" s="16"/>
      <c r="T382" s="16"/>
      <c r="U382" s="16"/>
      <c r="V382" s="16"/>
      <c r="W382" s="16"/>
      <c r="X382" s="16"/>
      <c r="Y382" s="16"/>
      <c r="Z382" s="16"/>
      <c r="AA382" s="16"/>
      <c r="AB382" s="11"/>
    </row>
    <row r="383" spans="13:28">
      <c r="M383" s="16"/>
      <c r="N383" s="16"/>
      <c r="O383" s="16"/>
      <c r="T383" s="16"/>
      <c r="U383" s="16"/>
      <c r="V383" s="16"/>
      <c r="W383" s="16"/>
      <c r="X383" s="16"/>
      <c r="Y383" s="16"/>
      <c r="Z383" s="16"/>
      <c r="AA383" s="16"/>
      <c r="AB383" s="11"/>
    </row>
    <row r="384" spans="13:28">
      <c r="M384" s="16"/>
      <c r="N384" s="16"/>
      <c r="O384" s="16"/>
      <c r="T384" s="16"/>
      <c r="U384" s="16"/>
      <c r="V384" s="16"/>
      <c r="W384" s="16"/>
      <c r="X384" s="16"/>
      <c r="Y384" s="16"/>
      <c r="Z384" s="16"/>
      <c r="AA384" s="16"/>
      <c r="AB384" s="11"/>
    </row>
    <row r="385" spans="13:28">
      <c r="M385" s="16"/>
      <c r="N385" s="16"/>
      <c r="O385" s="16"/>
      <c r="T385" s="16"/>
      <c r="U385" s="16"/>
      <c r="V385" s="16"/>
      <c r="W385" s="16"/>
      <c r="X385" s="16"/>
      <c r="Y385" s="16"/>
      <c r="Z385" s="16"/>
      <c r="AA385" s="16"/>
      <c r="AB385" s="11"/>
    </row>
    <row r="386" spans="13:28">
      <c r="M386" s="16"/>
      <c r="N386" s="16"/>
      <c r="O386" s="16"/>
      <c r="T386" s="16"/>
      <c r="U386" s="16"/>
      <c r="V386" s="16"/>
      <c r="W386" s="16"/>
      <c r="X386" s="16"/>
      <c r="Y386" s="16"/>
      <c r="Z386" s="16"/>
      <c r="AA386" s="16"/>
      <c r="AB386" s="11"/>
    </row>
    <row r="387" spans="13:28">
      <c r="M387" s="16"/>
      <c r="N387" s="16"/>
      <c r="O387" s="16"/>
      <c r="T387" s="16"/>
      <c r="U387" s="16"/>
      <c r="V387" s="16"/>
      <c r="W387" s="16"/>
      <c r="X387" s="16"/>
      <c r="Y387" s="16"/>
      <c r="Z387" s="16"/>
      <c r="AA387" s="16"/>
      <c r="AB387" s="11"/>
    </row>
    <row r="388" spans="13:28">
      <c r="M388" s="16"/>
      <c r="N388" s="16"/>
      <c r="O388" s="16"/>
      <c r="T388" s="16"/>
      <c r="U388" s="16"/>
      <c r="V388" s="16"/>
      <c r="W388" s="16"/>
      <c r="X388" s="16"/>
      <c r="Y388" s="16"/>
      <c r="Z388" s="16"/>
      <c r="AA388" s="16"/>
      <c r="AB388" s="11"/>
    </row>
    <row r="389" spans="13:28">
      <c r="M389" s="16"/>
      <c r="N389" s="16"/>
      <c r="O389" s="16"/>
      <c r="T389" s="16"/>
      <c r="U389" s="16"/>
      <c r="V389" s="16"/>
      <c r="W389" s="16"/>
      <c r="X389" s="16"/>
      <c r="Y389" s="16"/>
      <c r="Z389" s="16"/>
      <c r="AA389" s="16"/>
      <c r="AB389" s="11"/>
    </row>
    <row r="390" spans="13:28">
      <c r="M390" s="16"/>
      <c r="N390" s="16"/>
      <c r="O390" s="16"/>
      <c r="T390" s="16"/>
      <c r="U390" s="16"/>
      <c r="V390" s="16"/>
      <c r="W390" s="16"/>
      <c r="X390" s="16"/>
      <c r="Y390" s="16"/>
      <c r="Z390" s="16"/>
      <c r="AA390" s="16"/>
      <c r="AB390" s="11"/>
    </row>
    <row r="391" spans="13:28">
      <c r="M391" s="16"/>
      <c r="N391" s="16"/>
      <c r="O391" s="16"/>
      <c r="T391" s="16"/>
      <c r="U391" s="16"/>
      <c r="V391" s="16"/>
      <c r="W391" s="16"/>
      <c r="X391" s="16"/>
      <c r="Y391" s="16"/>
      <c r="Z391" s="16"/>
      <c r="AA391" s="16"/>
      <c r="AB391" s="11"/>
    </row>
    <row r="392" spans="13:28">
      <c r="M392" s="16"/>
      <c r="N392" s="16"/>
      <c r="O392" s="16"/>
      <c r="T392" s="16"/>
      <c r="U392" s="16"/>
      <c r="V392" s="16"/>
      <c r="W392" s="16"/>
      <c r="X392" s="16"/>
      <c r="Y392" s="16"/>
      <c r="Z392" s="16"/>
      <c r="AA392" s="16"/>
      <c r="AB392" s="11"/>
    </row>
    <row r="393" spans="13:28">
      <c r="M393" s="16"/>
      <c r="N393" s="16"/>
      <c r="O393" s="16"/>
      <c r="T393" s="16"/>
      <c r="U393" s="16"/>
      <c r="V393" s="16"/>
      <c r="W393" s="16"/>
      <c r="X393" s="16"/>
      <c r="Y393" s="16"/>
      <c r="Z393" s="16"/>
      <c r="AA393" s="16"/>
      <c r="AB393" s="11"/>
    </row>
    <row r="394" spans="13:28">
      <c r="M394" s="16"/>
      <c r="N394" s="16"/>
      <c r="O394" s="16"/>
      <c r="T394" s="16"/>
      <c r="U394" s="16"/>
      <c r="V394" s="16"/>
      <c r="W394" s="16"/>
      <c r="X394" s="16"/>
      <c r="Y394" s="16"/>
      <c r="Z394" s="16"/>
      <c r="AA394" s="16"/>
      <c r="AB394" s="11"/>
    </row>
    <row r="395" spans="13:28">
      <c r="M395" s="16"/>
      <c r="N395" s="16"/>
      <c r="O395" s="16"/>
      <c r="T395" s="16"/>
      <c r="U395" s="16"/>
      <c r="V395" s="16"/>
      <c r="W395" s="16"/>
      <c r="X395" s="16"/>
      <c r="Y395" s="16"/>
      <c r="Z395" s="16"/>
      <c r="AA395" s="16"/>
      <c r="AB395" s="11"/>
    </row>
    <row r="396" spans="13:28">
      <c r="M396" s="16"/>
      <c r="N396" s="16"/>
      <c r="O396" s="16"/>
      <c r="T396" s="16"/>
      <c r="U396" s="16"/>
      <c r="V396" s="16"/>
      <c r="W396" s="16"/>
      <c r="X396" s="16"/>
      <c r="Y396" s="16"/>
      <c r="Z396" s="16"/>
      <c r="AA396" s="16"/>
      <c r="AB396" s="11"/>
    </row>
    <row r="397" spans="13:28">
      <c r="M397" s="16"/>
      <c r="N397" s="16"/>
      <c r="O397" s="16"/>
      <c r="T397" s="16"/>
      <c r="U397" s="16"/>
      <c r="V397" s="16"/>
      <c r="W397" s="16"/>
      <c r="X397" s="16"/>
      <c r="Y397" s="16"/>
      <c r="Z397" s="16"/>
      <c r="AA397" s="16"/>
      <c r="AB397" s="11"/>
    </row>
    <row r="398" spans="13:28">
      <c r="M398" s="16"/>
      <c r="N398" s="16"/>
      <c r="O398" s="16"/>
      <c r="T398" s="16"/>
      <c r="U398" s="16"/>
      <c r="V398" s="16"/>
      <c r="W398" s="16"/>
      <c r="X398" s="16"/>
      <c r="Y398" s="16"/>
      <c r="Z398" s="16"/>
      <c r="AA398" s="16"/>
      <c r="AB398" s="11"/>
    </row>
    <row r="399" spans="13:28">
      <c r="M399" s="16"/>
      <c r="N399" s="16"/>
      <c r="O399" s="16"/>
      <c r="T399" s="16"/>
      <c r="U399" s="16"/>
      <c r="V399" s="16"/>
      <c r="W399" s="16"/>
      <c r="X399" s="16"/>
      <c r="Y399" s="16"/>
      <c r="Z399" s="16"/>
      <c r="AA399" s="16"/>
      <c r="AB399" s="11"/>
    </row>
    <row r="400" spans="13:28">
      <c r="M400" s="16"/>
      <c r="N400" s="16"/>
      <c r="O400" s="16"/>
      <c r="T400" s="16"/>
      <c r="U400" s="16"/>
      <c r="V400" s="16"/>
      <c r="W400" s="16"/>
      <c r="X400" s="16"/>
      <c r="Y400" s="16"/>
      <c r="Z400" s="16"/>
      <c r="AA400" s="16"/>
      <c r="AB400" s="11"/>
    </row>
    <row r="401" spans="13:28">
      <c r="M401" s="16"/>
      <c r="N401" s="16"/>
      <c r="O401" s="16"/>
      <c r="T401" s="16"/>
      <c r="U401" s="16"/>
      <c r="V401" s="16"/>
      <c r="W401" s="16"/>
      <c r="X401" s="16"/>
      <c r="Y401" s="16"/>
      <c r="Z401" s="16"/>
      <c r="AA401" s="16"/>
      <c r="AB401" s="11"/>
    </row>
    <row r="402" spans="13:28">
      <c r="M402" s="16"/>
      <c r="N402" s="16"/>
      <c r="O402" s="16"/>
      <c r="T402" s="16"/>
      <c r="U402" s="16"/>
      <c r="V402" s="16"/>
      <c r="W402" s="16"/>
      <c r="X402" s="16"/>
      <c r="Y402" s="16"/>
      <c r="Z402" s="16"/>
      <c r="AA402" s="16"/>
      <c r="AB402" s="11"/>
    </row>
    <row r="403" spans="13:28">
      <c r="M403" s="16"/>
      <c r="N403" s="16"/>
      <c r="O403" s="16"/>
      <c r="T403" s="16"/>
      <c r="U403" s="16"/>
      <c r="V403" s="16"/>
      <c r="W403" s="16"/>
      <c r="X403" s="16"/>
      <c r="Y403" s="16"/>
      <c r="Z403" s="16"/>
      <c r="AA403" s="16"/>
      <c r="AB403" s="11"/>
    </row>
    <row r="404" spans="13:28">
      <c r="M404" s="16"/>
      <c r="N404" s="16"/>
      <c r="O404" s="16"/>
      <c r="T404" s="16"/>
      <c r="U404" s="16"/>
      <c r="V404" s="16"/>
      <c r="W404" s="16"/>
      <c r="X404" s="16"/>
      <c r="Y404" s="16"/>
      <c r="Z404" s="16"/>
      <c r="AA404" s="16"/>
      <c r="AB404" s="11"/>
    </row>
    <row r="405" spans="13:28">
      <c r="M405" s="16"/>
      <c r="N405" s="16"/>
      <c r="O405" s="16"/>
      <c r="T405" s="16"/>
      <c r="U405" s="16"/>
      <c r="V405" s="16"/>
      <c r="W405" s="16"/>
      <c r="X405" s="16"/>
      <c r="Y405" s="16"/>
      <c r="Z405" s="16"/>
      <c r="AA405" s="16"/>
      <c r="AB405" s="11"/>
    </row>
    <row r="406" spans="13:28">
      <c r="M406" s="16"/>
      <c r="N406" s="16"/>
      <c r="O406" s="16"/>
      <c r="T406" s="16"/>
      <c r="U406" s="16"/>
      <c r="V406" s="16"/>
      <c r="W406" s="16"/>
      <c r="X406" s="16"/>
      <c r="Y406" s="16"/>
      <c r="Z406" s="16"/>
      <c r="AA406" s="16"/>
      <c r="AB406" s="11"/>
    </row>
    <row r="407" spans="13:28">
      <c r="M407" s="16"/>
      <c r="N407" s="16"/>
      <c r="O407" s="16"/>
      <c r="T407" s="16"/>
      <c r="U407" s="16"/>
      <c r="V407" s="16"/>
      <c r="W407" s="16"/>
      <c r="X407" s="16"/>
      <c r="Y407" s="16"/>
      <c r="Z407" s="16"/>
      <c r="AA407" s="16"/>
      <c r="AB407" s="11"/>
    </row>
    <row r="408" spans="13:28">
      <c r="M408" s="16"/>
      <c r="N408" s="16"/>
      <c r="O408" s="16"/>
      <c r="T408" s="16"/>
      <c r="U408" s="16"/>
      <c r="V408" s="16"/>
      <c r="W408" s="16"/>
      <c r="X408" s="16"/>
      <c r="Y408" s="16"/>
      <c r="Z408" s="16"/>
      <c r="AA408" s="16"/>
      <c r="AB408" s="11"/>
    </row>
    <row r="409" spans="13:28">
      <c r="M409" s="16"/>
      <c r="N409" s="16"/>
      <c r="O409" s="16"/>
      <c r="T409" s="16"/>
      <c r="U409" s="16"/>
      <c r="V409" s="16"/>
      <c r="W409" s="16"/>
      <c r="X409" s="16"/>
      <c r="Y409" s="16"/>
      <c r="Z409" s="16"/>
      <c r="AA409" s="16"/>
      <c r="AB409" s="11"/>
    </row>
    <row r="410" spans="13:28">
      <c r="M410" s="16"/>
      <c r="N410" s="16"/>
      <c r="O410" s="16"/>
      <c r="T410" s="16"/>
      <c r="U410" s="16"/>
      <c r="V410" s="16"/>
      <c r="W410" s="16"/>
      <c r="X410" s="16"/>
      <c r="Y410" s="16"/>
      <c r="Z410" s="16"/>
      <c r="AA410" s="16"/>
      <c r="AB410" s="11"/>
    </row>
    <row r="411" spans="13:28">
      <c r="M411" s="16"/>
      <c r="N411" s="16"/>
      <c r="O411" s="16"/>
      <c r="T411" s="16"/>
      <c r="U411" s="16"/>
      <c r="V411" s="16"/>
      <c r="W411" s="16"/>
      <c r="X411" s="16"/>
      <c r="Y411" s="16"/>
      <c r="Z411" s="16"/>
      <c r="AA411" s="16"/>
      <c r="AB411" s="11"/>
    </row>
    <row r="412" spans="13:28">
      <c r="M412" s="16"/>
      <c r="N412" s="16"/>
      <c r="O412" s="16"/>
      <c r="T412" s="16"/>
      <c r="U412" s="16"/>
      <c r="V412" s="16"/>
      <c r="W412" s="16"/>
      <c r="X412" s="16"/>
      <c r="Y412" s="16"/>
      <c r="Z412" s="16"/>
      <c r="AA412" s="16"/>
      <c r="AB412" s="11"/>
    </row>
    <row r="413" spans="13:28">
      <c r="M413" s="16"/>
      <c r="N413" s="16"/>
      <c r="O413" s="16"/>
      <c r="T413" s="16"/>
      <c r="U413" s="16"/>
      <c r="V413" s="16"/>
      <c r="W413" s="16"/>
      <c r="X413" s="16"/>
      <c r="Y413" s="16"/>
      <c r="Z413" s="16"/>
      <c r="AA413" s="16"/>
      <c r="AB413" s="11"/>
    </row>
    <row r="414" spans="13:28">
      <c r="M414" s="16"/>
      <c r="N414" s="16"/>
      <c r="O414" s="16"/>
      <c r="T414" s="16"/>
      <c r="U414" s="16"/>
      <c r="V414" s="16"/>
      <c r="W414" s="16"/>
      <c r="X414" s="16"/>
      <c r="Y414" s="16"/>
      <c r="Z414" s="16"/>
      <c r="AA414" s="16"/>
      <c r="AB414" s="11"/>
    </row>
    <row r="415" spans="13:28">
      <c r="M415" s="16"/>
      <c r="N415" s="16"/>
      <c r="O415" s="16"/>
      <c r="T415" s="16"/>
      <c r="U415" s="16"/>
      <c r="V415" s="16"/>
      <c r="W415" s="16"/>
      <c r="X415" s="16"/>
      <c r="Y415" s="16"/>
      <c r="Z415" s="16"/>
      <c r="AA415" s="16"/>
      <c r="AB415" s="11"/>
    </row>
    <row r="416" spans="13:28">
      <c r="M416" s="16"/>
      <c r="N416" s="16"/>
      <c r="O416" s="16"/>
      <c r="T416" s="16"/>
      <c r="U416" s="16"/>
      <c r="V416" s="16"/>
      <c r="W416" s="16"/>
      <c r="X416" s="16"/>
      <c r="Y416" s="16"/>
      <c r="Z416" s="16"/>
      <c r="AA416" s="16"/>
      <c r="AB416" s="11"/>
    </row>
    <row r="417" spans="13:28">
      <c r="M417" s="16"/>
      <c r="N417" s="16"/>
      <c r="O417" s="16"/>
      <c r="T417" s="16"/>
      <c r="U417" s="16"/>
      <c r="V417" s="16"/>
      <c r="W417" s="16"/>
      <c r="X417" s="16"/>
      <c r="Y417" s="16"/>
      <c r="Z417" s="16"/>
      <c r="AA417" s="16"/>
      <c r="AB417" s="11"/>
    </row>
    <row r="418" spans="13:28">
      <c r="M418" s="16"/>
      <c r="N418" s="16"/>
      <c r="O418" s="16"/>
      <c r="T418" s="16"/>
      <c r="U418" s="16"/>
      <c r="V418" s="16"/>
      <c r="W418" s="16"/>
      <c r="X418" s="16"/>
      <c r="Y418" s="16"/>
      <c r="Z418" s="16"/>
      <c r="AA418" s="16"/>
      <c r="AB418" s="11"/>
    </row>
    <row r="419" spans="13:28">
      <c r="M419" s="16"/>
      <c r="N419" s="16"/>
      <c r="O419" s="16"/>
      <c r="T419" s="16"/>
      <c r="U419" s="16"/>
      <c r="V419" s="16"/>
      <c r="W419" s="16"/>
      <c r="X419" s="16"/>
      <c r="Y419" s="16"/>
      <c r="Z419" s="16"/>
      <c r="AA419" s="16"/>
      <c r="AB419" s="11"/>
    </row>
    <row r="420" spans="13:28">
      <c r="M420" s="16"/>
      <c r="N420" s="16"/>
      <c r="O420" s="16"/>
      <c r="T420" s="16"/>
      <c r="U420" s="16"/>
      <c r="V420" s="16"/>
      <c r="W420" s="16"/>
      <c r="X420" s="16"/>
      <c r="Y420" s="16"/>
      <c r="Z420" s="16"/>
      <c r="AA420" s="16"/>
      <c r="AB420" s="11"/>
    </row>
    <row r="421" spans="13:28">
      <c r="M421" s="16"/>
      <c r="N421" s="16"/>
      <c r="O421" s="16"/>
      <c r="T421" s="16"/>
      <c r="U421" s="16"/>
      <c r="V421" s="16"/>
      <c r="W421" s="16"/>
      <c r="X421" s="16"/>
      <c r="Y421" s="16"/>
      <c r="Z421" s="16"/>
      <c r="AA421" s="16"/>
      <c r="AB421" s="11"/>
    </row>
    <row r="422" spans="13:28">
      <c r="M422" s="16"/>
      <c r="N422" s="16"/>
      <c r="O422" s="16"/>
      <c r="T422" s="16"/>
      <c r="U422" s="16"/>
      <c r="V422" s="16"/>
      <c r="W422" s="16"/>
      <c r="X422" s="16"/>
      <c r="Y422" s="16"/>
      <c r="Z422" s="16"/>
      <c r="AA422" s="16"/>
      <c r="AB422" s="11"/>
    </row>
    <row r="423" spans="13:28">
      <c r="M423" s="16"/>
      <c r="N423" s="16"/>
      <c r="O423" s="16"/>
      <c r="T423" s="16"/>
      <c r="U423" s="16"/>
      <c r="V423" s="16"/>
      <c r="W423" s="16"/>
      <c r="X423" s="16"/>
      <c r="Y423" s="16"/>
      <c r="Z423" s="16"/>
      <c r="AA423" s="16"/>
      <c r="AB423" s="11"/>
    </row>
    <row r="424" spans="13:28">
      <c r="M424" s="16"/>
      <c r="N424" s="16"/>
      <c r="O424" s="16"/>
      <c r="T424" s="16"/>
      <c r="U424" s="16"/>
      <c r="V424" s="16"/>
      <c r="W424" s="16"/>
      <c r="X424" s="16"/>
      <c r="Y424" s="16"/>
      <c r="Z424" s="16"/>
      <c r="AA424" s="16"/>
      <c r="AB424" s="11"/>
    </row>
    <row r="425" spans="13:28">
      <c r="M425" s="16"/>
      <c r="N425" s="16"/>
      <c r="O425" s="16"/>
      <c r="T425" s="16"/>
      <c r="U425" s="16"/>
      <c r="V425" s="16"/>
      <c r="W425" s="16"/>
      <c r="X425" s="16"/>
      <c r="Y425" s="16"/>
      <c r="Z425" s="16"/>
      <c r="AA425" s="16"/>
      <c r="AB425" s="11"/>
    </row>
    <row r="426" spans="13:28">
      <c r="M426" s="16"/>
      <c r="N426" s="16"/>
      <c r="O426" s="16"/>
      <c r="T426" s="16"/>
      <c r="U426" s="16"/>
      <c r="V426" s="16"/>
      <c r="W426" s="16"/>
      <c r="X426" s="16"/>
      <c r="Y426" s="16"/>
      <c r="Z426" s="16"/>
      <c r="AA426" s="16"/>
      <c r="AB426" s="11"/>
    </row>
    <row r="427" spans="13:28">
      <c r="M427" s="16"/>
      <c r="N427" s="16"/>
      <c r="O427" s="16"/>
      <c r="T427" s="16"/>
      <c r="U427" s="16"/>
      <c r="V427" s="16"/>
      <c r="W427" s="16"/>
      <c r="X427" s="16"/>
      <c r="Y427" s="16"/>
      <c r="Z427" s="16"/>
      <c r="AA427" s="16"/>
      <c r="AB427" s="11"/>
    </row>
    <row r="428" spans="13:28">
      <c r="M428" s="16"/>
      <c r="N428" s="16"/>
      <c r="O428" s="16"/>
      <c r="T428" s="16"/>
      <c r="U428" s="16"/>
      <c r="V428" s="16"/>
      <c r="W428" s="16"/>
      <c r="X428" s="16"/>
      <c r="Y428" s="16"/>
      <c r="Z428" s="16"/>
      <c r="AA428" s="16"/>
      <c r="AB428" s="11"/>
    </row>
    <row r="429" spans="13:28">
      <c r="M429" s="16"/>
      <c r="N429" s="16"/>
      <c r="O429" s="16"/>
      <c r="T429" s="16"/>
      <c r="U429" s="16"/>
      <c r="V429" s="16"/>
      <c r="W429" s="16"/>
      <c r="X429" s="16"/>
      <c r="Y429" s="16"/>
      <c r="Z429" s="16"/>
      <c r="AA429" s="16"/>
      <c r="AB429" s="11"/>
    </row>
    <row r="430" spans="13:28">
      <c r="M430" s="16"/>
      <c r="N430" s="16"/>
      <c r="O430" s="16"/>
      <c r="T430" s="16"/>
      <c r="U430" s="16"/>
      <c r="V430" s="16"/>
      <c r="W430" s="16"/>
      <c r="X430" s="16"/>
      <c r="Y430" s="16"/>
      <c r="Z430" s="16"/>
      <c r="AA430" s="16"/>
      <c r="AB430" s="11"/>
    </row>
    <row r="431" spans="13:28">
      <c r="M431" s="16"/>
      <c r="N431" s="16"/>
      <c r="O431" s="16"/>
      <c r="T431" s="16"/>
      <c r="U431" s="16"/>
      <c r="V431" s="16"/>
      <c r="W431" s="16"/>
      <c r="X431" s="16"/>
      <c r="Y431" s="16"/>
      <c r="Z431" s="16"/>
      <c r="AA431" s="16"/>
      <c r="AB431" s="11"/>
    </row>
    <row r="432" spans="13:28">
      <c r="M432" s="16"/>
      <c r="N432" s="16"/>
      <c r="O432" s="16"/>
      <c r="T432" s="16"/>
      <c r="U432" s="16"/>
      <c r="V432" s="16"/>
      <c r="W432" s="16"/>
      <c r="X432" s="16"/>
      <c r="Y432" s="16"/>
      <c r="Z432" s="16"/>
      <c r="AA432" s="16"/>
      <c r="AB432" s="11"/>
    </row>
    <row r="433" spans="13:28">
      <c r="M433" s="16"/>
      <c r="N433" s="16"/>
      <c r="O433" s="16"/>
      <c r="T433" s="16"/>
      <c r="U433" s="16"/>
      <c r="V433" s="16"/>
      <c r="W433" s="16"/>
      <c r="X433" s="16"/>
      <c r="Y433" s="16"/>
      <c r="Z433" s="16"/>
      <c r="AA433" s="16"/>
      <c r="AB433" s="11"/>
    </row>
    <row r="434" spans="13:28">
      <c r="M434" s="16"/>
      <c r="N434" s="16"/>
      <c r="O434" s="16"/>
      <c r="T434" s="16"/>
      <c r="U434" s="16"/>
      <c r="V434" s="16"/>
      <c r="W434" s="16"/>
      <c r="X434" s="16"/>
      <c r="Y434" s="16"/>
      <c r="Z434" s="16"/>
      <c r="AA434" s="16"/>
      <c r="AB434" s="11"/>
    </row>
    <row r="435" spans="13:28">
      <c r="M435" s="16"/>
      <c r="N435" s="16"/>
      <c r="O435" s="16"/>
      <c r="T435" s="16"/>
      <c r="U435" s="16"/>
      <c r="V435" s="16"/>
      <c r="W435" s="16"/>
      <c r="X435" s="16"/>
      <c r="Y435" s="16"/>
      <c r="Z435" s="16"/>
      <c r="AA435" s="16"/>
      <c r="AB435" s="11"/>
    </row>
    <row r="436" spans="13:28">
      <c r="M436" s="16"/>
      <c r="N436" s="16"/>
      <c r="O436" s="16"/>
      <c r="T436" s="16"/>
      <c r="U436" s="16"/>
      <c r="V436" s="16"/>
      <c r="W436" s="16"/>
      <c r="X436" s="16"/>
      <c r="Y436" s="16"/>
      <c r="Z436" s="16"/>
      <c r="AA436" s="16"/>
      <c r="AB436" s="11"/>
    </row>
    <row r="437" spans="13:28">
      <c r="M437" s="16"/>
      <c r="N437" s="16"/>
      <c r="O437" s="16"/>
      <c r="T437" s="16"/>
      <c r="U437" s="16"/>
      <c r="V437" s="16"/>
      <c r="W437" s="16"/>
      <c r="X437" s="16"/>
      <c r="Y437" s="16"/>
      <c r="Z437" s="16"/>
      <c r="AA437" s="16"/>
      <c r="AB437" s="11"/>
    </row>
    <row r="438" spans="13:28">
      <c r="M438" s="16"/>
      <c r="N438" s="16"/>
      <c r="O438" s="16"/>
      <c r="T438" s="16"/>
      <c r="U438" s="16"/>
      <c r="V438" s="16"/>
      <c r="W438" s="16"/>
      <c r="X438" s="16"/>
      <c r="Y438" s="16"/>
      <c r="Z438" s="16"/>
      <c r="AA438" s="16"/>
      <c r="AB438" s="11"/>
    </row>
    <row r="439" spans="13:28">
      <c r="M439" s="16"/>
      <c r="N439" s="16"/>
      <c r="O439" s="16"/>
      <c r="T439" s="16"/>
      <c r="U439" s="16"/>
      <c r="V439" s="16"/>
      <c r="W439" s="16"/>
      <c r="X439" s="16"/>
      <c r="Y439" s="16"/>
      <c r="Z439" s="16"/>
      <c r="AA439" s="16"/>
      <c r="AB439" s="11"/>
    </row>
    <row r="440" spans="13:28">
      <c r="M440" s="16"/>
      <c r="N440" s="16"/>
      <c r="O440" s="16"/>
      <c r="T440" s="16"/>
      <c r="U440" s="16"/>
      <c r="V440" s="16"/>
      <c r="W440" s="16"/>
      <c r="X440" s="16"/>
      <c r="Y440" s="16"/>
      <c r="Z440" s="16"/>
      <c r="AA440" s="16"/>
      <c r="AB440" s="11"/>
    </row>
    <row r="441" spans="13:28">
      <c r="M441" s="16"/>
      <c r="N441" s="16"/>
      <c r="O441" s="16"/>
      <c r="T441" s="16"/>
      <c r="U441" s="16"/>
      <c r="V441" s="16"/>
      <c r="W441" s="16"/>
      <c r="X441" s="16"/>
      <c r="Y441" s="16"/>
      <c r="Z441" s="16"/>
      <c r="AA441" s="16"/>
      <c r="AB441" s="11"/>
    </row>
    <row r="442" spans="13:28">
      <c r="M442" s="16"/>
      <c r="N442" s="16"/>
      <c r="O442" s="16"/>
      <c r="T442" s="16"/>
      <c r="U442" s="16"/>
      <c r="V442" s="16"/>
      <c r="W442" s="16"/>
      <c r="X442" s="16"/>
      <c r="Y442" s="16"/>
      <c r="Z442" s="16"/>
      <c r="AA442" s="16"/>
      <c r="AB442" s="11"/>
    </row>
    <row r="443" spans="13:28">
      <c r="M443" s="16"/>
      <c r="N443" s="16"/>
      <c r="O443" s="16"/>
      <c r="T443" s="16"/>
      <c r="U443" s="16"/>
      <c r="V443" s="16"/>
      <c r="W443" s="16"/>
      <c r="X443" s="16"/>
      <c r="Y443" s="16"/>
      <c r="Z443" s="16"/>
      <c r="AA443" s="16"/>
      <c r="AB443" s="11"/>
    </row>
    <row r="444" spans="13:28">
      <c r="M444" s="16"/>
      <c r="N444" s="16"/>
      <c r="O444" s="16"/>
      <c r="T444" s="16"/>
      <c r="U444" s="16"/>
      <c r="V444" s="16"/>
      <c r="W444" s="16"/>
      <c r="X444" s="16"/>
      <c r="Y444" s="16"/>
      <c r="Z444" s="16"/>
      <c r="AA444" s="16"/>
      <c r="AB444" s="11"/>
    </row>
    <row r="445" spans="13:28">
      <c r="M445" s="16"/>
      <c r="N445" s="16"/>
      <c r="O445" s="16"/>
      <c r="T445" s="16"/>
      <c r="U445" s="16"/>
      <c r="V445" s="16"/>
      <c r="W445" s="16"/>
      <c r="X445" s="16"/>
      <c r="Y445" s="16"/>
      <c r="Z445" s="16"/>
      <c r="AA445" s="16"/>
      <c r="AB445" s="11"/>
    </row>
    <row r="446" spans="13:28">
      <c r="M446" s="16"/>
      <c r="N446" s="16"/>
      <c r="O446" s="16"/>
      <c r="T446" s="16"/>
      <c r="U446" s="16"/>
      <c r="V446" s="16"/>
      <c r="W446" s="16"/>
      <c r="X446" s="16"/>
      <c r="Y446" s="16"/>
      <c r="Z446" s="16"/>
      <c r="AA446" s="16"/>
      <c r="AB446" s="11"/>
    </row>
    <row r="447" spans="13:28">
      <c r="M447" s="16"/>
      <c r="N447" s="16"/>
      <c r="O447" s="16"/>
      <c r="T447" s="16"/>
      <c r="U447" s="16"/>
      <c r="V447" s="16"/>
      <c r="W447" s="16"/>
      <c r="X447" s="16"/>
      <c r="Y447" s="16"/>
      <c r="Z447" s="16"/>
      <c r="AA447" s="16"/>
      <c r="AB447" s="11"/>
    </row>
    <row r="448" spans="13:28">
      <c r="M448" s="16"/>
      <c r="N448" s="16"/>
      <c r="O448" s="16"/>
      <c r="T448" s="16"/>
      <c r="U448" s="16"/>
      <c r="V448" s="16"/>
      <c r="W448" s="16"/>
      <c r="X448" s="16"/>
      <c r="Y448" s="16"/>
      <c r="Z448" s="16"/>
      <c r="AA448" s="16"/>
      <c r="AB448" s="11"/>
    </row>
    <row r="449" spans="13:28">
      <c r="M449" s="16"/>
      <c r="N449" s="16"/>
      <c r="O449" s="16"/>
      <c r="T449" s="16"/>
      <c r="U449" s="16"/>
      <c r="V449" s="16"/>
      <c r="W449" s="16"/>
      <c r="X449" s="16"/>
      <c r="Y449" s="16"/>
      <c r="Z449" s="16"/>
      <c r="AA449" s="16"/>
      <c r="AB449" s="11"/>
    </row>
    <row r="450" spans="13:28">
      <c r="M450" s="16"/>
      <c r="N450" s="16"/>
      <c r="O450" s="16"/>
      <c r="T450" s="16"/>
      <c r="U450" s="16"/>
      <c r="V450" s="16"/>
      <c r="W450" s="16"/>
      <c r="X450" s="16"/>
      <c r="Y450" s="16"/>
      <c r="Z450" s="16"/>
      <c r="AA450" s="16"/>
      <c r="AB450" s="11"/>
    </row>
    <row r="451" spans="13:28">
      <c r="M451" s="16"/>
      <c r="N451" s="16"/>
      <c r="O451" s="16"/>
      <c r="T451" s="16"/>
      <c r="U451" s="16"/>
      <c r="V451" s="16"/>
      <c r="W451" s="16"/>
      <c r="X451" s="16"/>
      <c r="Y451" s="16"/>
      <c r="Z451" s="16"/>
      <c r="AA451" s="16"/>
      <c r="AB451" s="11"/>
    </row>
    <row r="452" spans="13:28">
      <c r="M452" s="16"/>
      <c r="N452" s="16"/>
      <c r="O452" s="16"/>
      <c r="T452" s="16"/>
      <c r="U452" s="16"/>
      <c r="V452" s="16"/>
      <c r="W452" s="16"/>
      <c r="X452" s="16"/>
      <c r="Y452" s="16"/>
      <c r="Z452" s="16"/>
      <c r="AA452" s="16"/>
      <c r="AB452" s="11"/>
    </row>
    <row r="453" spans="13:28">
      <c r="M453" s="16"/>
      <c r="N453" s="16"/>
      <c r="O453" s="16"/>
      <c r="T453" s="16"/>
      <c r="U453" s="16"/>
      <c r="V453" s="16"/>
      <c r="W453" s="16"/>
      <c r="X453" s="16"/>
      <c r="Y453" s="16"/>
      <c r="Z453" s="16"/>
      <c r="AA453" s="16"/>
      <c r="AB453" s="11"/>
    </row>
    <row r="454" spans="13:28">
      <c r="M454" s="16"/>
      <c r="N454" s="16"/>
      <c r="O454" s="16"/>
      <c r="T454" s="16"/>
      <c r="U454" s="16"/>
      <c r="V454" s="16"/>
      <c r="W454" s="16"/>
      <c r="X454" s="16"/>
      <c r="Y454" s="16"/>
      <c r="Z454" s="16"/>
      <c r="AA454" s="16"/>
      <c r="AB454" s="11"/>
    </row>
    <row r="455" spans="13:28">
      <c r="M455" s="16"/>
      <c r="N455" s="16"/>
      <c r="O455" s="16"/>
      <c r="T455" s="16"/>
      <c r="U455" s="16"/>
      <c r="V455" s="16"/>
      <c r="W455" s="16"/>
      <c r="X455" s="16"/>
      <c r="Y455" s="16"/>
      <c r="Z455" s="16"/>
      <c r="AA455" s="16"/>
      <c r="AB455" s="11"/>
    </row>
    <row r="456" spans="13:28">
      <c r="M456" s="16"/>
      <c r="N456" s="16"/>
      <c r="O456" s="16"/>
      <c r="T456" s="16"/>
      <c r="U456" s="16"/>
      <c r="V456" s="16"/>
      <c r="W456" s="16"/>
      <c r="X456" s="16"/>
      <c r="Y456" s="16"/>
      <c r="Z456" s="16"/>
      <c r="AA456" s="16"/>
      <c r="AB456" s="11"/>
    </row>
    <row r="457" spans="13:28">
      <c r="M457" s="16"/>
      <c r="N457" s="16"/>
      <c r="O457" s="16"/>
      <c r="T457" s="16"/>
      <c r="U457" s="16"/>
      <c r="V457" s="16"/>
      <c r="W457" s="16"/>
      <c r="X457" s="16"/>
      <c r="Y457" s="16"/>
      <c r="Z457" s="16"/>
      <c r="AA457" s="16"/>
      <c r="AB457" s="11"/>
    </row>
    <row r="458" spans="13:28">
      <c r="M458" s="16"/>
      <c r="N458" s="16"/>
      <c r="O458" s="16"/>
      <c r="T458" s="16"/>
      <c r="U458" s="16"/>
      <c r="V458" s="16"/>
      <c r="W458" s="16"/>
      <c r="X458" s="16"/>
      <c r="Y458" s="16"/>
      <c r="Z458" s="16"/>
      <c r="AA458" s="16"/>
      <c r="AB458" s="11"/>
    </row>
    <row r="459" spans="13:28">
      <c r="M459" s="16"/>
      <c r="N459" s="16"/>
      <c r="O459" s="16"/>
      <c r="T459" s="16"/>
      <c r="U459" s="16"/>
      <c r="V459" s="16"/>
      <c r="W459" s="16"/>
      <c r="X459" s="16"/>
      <c r="Y459" s="16"/>
      <c r="Z459" s="16"/>
      <c r="AA459" s="16"/>
      <c r="AB459" s="11"/>
    </row>
    <row r="460" spans="13:28">
      <c r="M460" s="16"/>
      <c r="N460" s="16"/>
      <c r="O460" s="16"/>
      <c r="T460" s="16"/>
      <c r="U460" s="16"/>
      <c r="V460" s="16"/>
      <c r="W460" s="16"/>
      <c r="X460" s="16"/>
      <c r="Y460" s="16"/>
      <c r="Z460" s="16"/>
      <c r="AA460" s="16"/>
      <c r="AB460" s="11"/>
    </row>
    <row r="461" spans="13:28">
      <c r="M461" s="16"/>
      <c r="N461" s="16"/>
      <c r="O461" s="16"/>
      <c r="T461" s="16"/>
      <c r="U461" s="16"/>
      <c r="V461" s="16"/>
      <c r="W461" s="16"/>
      <c r="X461" s="16"/>
      <c r="Y461" s="16"/>
      <c r="Z461" s="16"/>
      <c r="AA461" s="16"/>
      <c r="AB461" s="11"/>
    </row>
    <row r="462" spans="13:28">
      <c r="M462" s="16"/>
      <c r="N462" s="16"/>
      <c r="O462" s="16"/>
      <c r="T462" s="16"/>
      <c r="U462" s="16"/>
      <c r="V462" s="16"/>
      <c r="W462" s="16"/>
      <c r="X462" s="16"/>
      <c r="Y462" s="16"/>
      <c r="Z462" s="16"/>
      <c r="AA462" s="16"/>
      <c r="AB462" s="11"/>
    </row>
    <row r="463" spans="13:28">
      <c r="M463" s="16"/>
      <c r="N463" s="16"/>
      <c r="O463" s="16"/>
      <c r="T463" s="16"/>
      <c r="U463" s="16"/>
      <c r="V463" s="16"/>
      <c r="W463" s="16"/>
      <c r="X463" s="16"/>
      <c r="Y463" s="16"/>
      <c r="Z463" s="16"/>
      <c r="AA463" s="16"/>
      <c r="AB463" s="11"/>
    </row>
    <row r="464" spans="13:28">
      <c r="M464" s="16"/>
      <c r="N464" s="16"/>
      <c r="O464" s="16"/>
      <c r="T464" s="16"/>
      <c r="U464" s="16"/>
      <c r="V464" s="16"/>
      <c r="W464" s="16"/>
      <c r="X464" s="16"/>
      <c r="Y464" s="16"/>
      <c r="Z464" s="16"/>
      <c r="AA464" s="16"/>
      <c r="AB464" s="11"/>
    </row>
    <row r="465" spans="13:28">
      <c r="M465" s="16"/>
      <c r="N465" s="16"/>
      <c r="O465" s="16"/>
      <c r="T465" s="16"/>
      <c r="U465" s="16"/>
      <c r="V465" s="16"/>
      <c r="W465" s="16"/>
      <c r="X465" s="16"/>
      <c r="Y465" s="16"/>
      <c r="Z465" s="16"/>
      <c r="AA465" s="16"/>
      <c r="AB465" s="11"/>
    </row>
    <row r="466" spans="13:28">
      <c r="M466" s="16"/>
      <c r="N466" s="16"/>
      <c r="O466" s="16"/>
      <c r="T466" s="16"/>
      <c r="U466" s="16"/>
      <c r="V466" s="16"/>
      <c r="W466" s="16"/>
      <c r="X466" s="16"/>
      <c r="Y466" s="16"/>
      <c r="Z466" s="16"/>
      <c r="AA466" s="16"/>
      <c r="AB466" s="11"/>
    </row>
    <row r="467" spans="13:28">
      <c r="M467" s="16"/>
      <c r="N467" s="16"/>
      <c r="O467" s="16"/>
      <c r="T467" s="16"/>
      <c r="U467" s="16"/>
      <c r="V467" s="16"/>
      <c r="W467" s="16"/>
      <c r="X467" s="16"/>
      <c r="Y467" s="16"/>
      <c r="Z467" s="16"/>
      <c r="AA467" s="16"/>
      <c r="AB467" s="11"/>
    </row>
    <row r="468" spans="13:28">
      <c r="M468" s="16"/>
      <c r="N468" s="16"/>
      <c r="O468" s="16"/>
      <c r="T468" s="16"/>
      <c r="U468" s="16"/>
      <c r="V468" s="16"/>
      <c r="W468" s="16"/>
      <c r="X468" s="16"/>
      <c r="Y468" s="16"/>
      <c r="Z468" s="16"/>
      <c r="AA468" s="16"/>
      <c r="AB468" s="11"/>
    </row>
    <row r="469" spans="13:28">
      <c r="M469" s="16"/>
      <c r="N469" s="16"/>
      <c r="O469" s="16"/>
      <c r="T469" s="16"/>
      <c r="U469" s="16"/>
      <c r="V469" s="16"/>
      <c r="W469" s="16"/>
      <c r="X469" s="16"/>
      <c r="Y469" s="16"/>
      <c r="Z469" s="16"/>
      <c r="AA469" s="16"/>
      <c r="AB469" s="11"/>
    </row>
    <row r="470" spans="13:28">
      <c r="M470" s="16"/>
      <c r="N470" s="16"/>
      <c r="O470" s="16"/>
      <c r="T470" s="16"/>
      <c r="U470" s="16"/>
      <c r="V470" s="16"/>
      <c r="W470" s="16"/>
      <c r="X470" s="16"/>
      <c r="Y470" s="16"/>
      <c r="Z470" s="16"/>
      <c r="AA470" s="16"/>
      <c r="AB470" s="11"/>
    </row>
    <row r="471" spans="13:28">
      <c r="M471" s="16"/>
      <c r="N471" s="16"/>
      <c r="O471" s="16"/>
      <c r="T471" s="16"/>
      <c r="U471" s="16"/>
      <c r="V471" s="16"/>
      <c r="W471" s="16"/>
      <c r="X471" s="16"/>
      <c r="Y471" s="16"/>
      <c r="Z471" s="16"/>
      <c r="AA471" s="16"/>
      <c r="AB471" s="11"/>
    </row>
    <row r="472" spans="13:28">
      <c r="M472" s="16"/>
      <c r="N472" s="16"/>
      <c r="O472" s="16"/>
      <c r="T472" s="16"/>
      <c r="U472" s="16"/>
      <c r="V472" s="16"/>
      <c r="W472" s="16"/>
      <c r="X472" s="16"/>
      <c r="Y472" s="16"/>
      <c r="Z472" s="16"/>
      <c r="AA472" s="16"/>
      <c r="AB472" s="11"/>
    </row>
    <row r="473" spans="13:28">
      <c r="M473" s="16"/>
      <c r="N473" s="16"/>
      <c r="O473" s="16"/>
      <c r="T473" s="16"/>
      <c r="U473" s="16"/>
      <c r="V473" s="16"/>
      <c r="W473" s="16"/>
      <c r="X473" s="16"/>
      <c r="Y473" s="16"/>
      <c r="Z473" s="16"/>
      <c r="AA473" s="16"/>
      <c r="AB473" s="11"/>
    </row>
    <row r="474" spans="13:28">
      <c r="M474" s="16"/>
      <c r="N474" s="16"/>
      <c r="O474" s="16"/>
      <c r="T474" s="16"/>
      <c r="U474" s="16"/>
      <c r="V474" s="16"/>
      <c r="W474" s="16"/>
      <c r="X474" s="16"/>
      <c r="Y474" s="16"/>
      <c r="Z474" s="16"/>
      <c r="AA474" s="16"/>
      <c r="AB474" s="11"/>
    </row>
    <row r="475" spans="13:28">
      <c r="M475" s="16"/>
      <c r="N475" s="16"/>
      <c r="O475" s="16"/>
      <c r="T475" s="16"/>
      <c r="U475" s="16"/>
      <c r="V475" s="16"/>
      <c r="W475" s="16"/>
      <c r="X475" s="16"/>
      <c r="Y475" s="16"/>
      <c r="Z475" s="16"/>
      <c r="AA475" s="16"/>
      <c r="AB475" s="11"/>
    </row>
    <row r="476" spans="13:28">
      <c r="M476" s="16"/>
      <c r="N476" s="16"/>
      <c r="O476" s="16"/>
      <c r="T476" s="16"/>
      <c r="U476" s="16"/>
      <c r="V476" s="16"/>
      <c r="W476" s="16"/>
      <c r="X476" s="16"/>
      <c r="Y476" s="16"/>
      <c r="Z476" s="16"/>
      <c r="AA476" s="16"/>
      <c r="AB476" s="11"/>
    </row>
    <row r="477" spans="13:28">
      <c r="M477" s="16"/>
      <c r="N477" s="16"/>
      <c r="O477" s="16"/>
      <c r="T477" s="16"/>
      <c r="U477" s="16"/>
      <c r="V477" s="16"/>
      <c r="W477" s="16"/>
      <c r="X477" s="16"/>
      <c r="Y477" s="16"/>
      <c r="Z477" s="16"/>
      <c r="AA477" s="16"/>
      <c r="AB477" s="11"/>
    </row>
    <row r="478" spans="13:28">
      <c r="M478" s="16"/>
      <c r="N478" s="16"/>
      <c r="O478" s="16"/>
      <c r="T478" s="16"/>
      <c r="U478" s="16"/>
      <c r="V478" s="16"/>
      <c r="W478" s="16"/>
      <c r="X478" s="16"/>
      <c r="Y478" s="16"/>
      <c r="Z478" s="16"/>
      <c r="AA478" s="16"/>
      <c r="AB478" s="11"/>
    </row>
    <row r="479" spans="13:28">
      <c r="M479" s="16"/>
      <c r="N479" s="16"/>
      <c r="O479" s="16"/>
      <c r="T479" s="16"/>
      <c r="U479" s="16"/>
      <c r="V479" s="16"/>
      <c r="W479" s="16"/>
      <c r="X479" s="16"/>
      <c r="Y479" s="16"/>
      <c r="Z479" s="16"/>
      <c r="AA479" s="16"/>
      <c r="AB479" s="11"/>
    </row>
    <row r="480" spans="13:28">
      <c r="M480" s="16"/>
      <c r="N480" s="16"/>
      <c r="O480" s="16"/>
      <c r="T480" s="16"/>
      <c r="U480" s="16"/>
      <c r="V480" s="16"/>
      <c r="W480" s="16"/>
      <c r="X480" s="16"/>
      <c r="Y480" s="16"/>
      <c r="Z480" s="16"/>
      <c r="AA480" s="16"/>
      <c r="AB480" s="11"/>
    </row>
    <row r="481" spans="13:28">
      <c r="M481" s="16"/>
      <c r="N481" s="16"/>
      <c r="O481" s="16"/>
      <c r="T481" s="16"/>
      <c r="U481" s="16"/>
      <c r="V481" s="16"/>
      <c r="W481" s="16"/>
      <c r="X481" s="16"/>
      <c r="Y481" s="16"/>
      <c r="Z481" s="16"/>
      <c r="AA481" s="16"/>
      <c r="AB481" s="11"/>
    </row>
    <row r="482" spans="13:28">
      <c r="M482" s="16"/>
      <c r="N482" s="16"/>
      <c r="O482" s="16"/>
      <c r="T482" s="16"/>
      <c r="U482" s="16"/>
      <c r="V482" s="16"/>
      <c r="W482" s="16"/>
      <c r="X482" s="16"/>
      <c r="Y482" s="16"/>
      <c r="Z482" s="16"/>
      <c r="AA482" s="16"/>
      <c r="AB482" s="11"/>
    </row>
    <row r="483" spans="13:28">
      <c r="M483" s="16"/>
      <c r="N483" s="16"/>
      <c r="O483" s="16"/>
      <c r="T483" s="16"/>
      <c r="U483" s="16"/>
      <c r="V483" s="16"/>
      <c r="W483" s="16"/>
      <c r="X483" s="16"/>
      <c r="Y483" s="16"/>
      <c r="Z483" s="16"/>
      <c r="AA483" s="16"/>
      <c r="AB483" s="11"/>
    </row>
    <row r="484" spans="13:28">
      <c r="M484" s="16"/>
      <c r="N484" s="16"/>
      <c r="O484" s="16"/>
      <c r="T484" s="16"/>
      <c r="U484" s="16"/>
      <c r="V484" s="16"/>
      <c r="W484" s="16"/>
      <c r="X484" s="16"/>
      <c r="Y484" s="16"/>
      <c r="Z484" s="16"/>
      <c r="AA484" s="16"/>
      <c r="AB484" s="11"/>
    </row>
    <row r="485" spans="13:28">
      <c r="M485" s="16"/>
      <c r="N485" s="16"/>
      <c r="O485" s="16"/>
      <c r="T485" s="16"/>
      <c r="U485" s="16"/>
      <c r="V485" s="16"/>
      <c r="W485" s="16"/>
      <c r="X485" s="16"/>
      <c r="Y485" s="16"/>
      <c r="Z485" s="16"/>
      <c r="AA485" s="16"/>
      <c r="AB485" s="11"/>
    </row>
    <row r="486" spans="13:28">
      <c r="M486" s="16"/>
      <c r="N486" s="16"/>
      <c r="O486" s="16"/>
      <c r="T486" s="16"/>
      <c r="U486" s="16"/>
      <c r="V486" s="16"/>
      <c r="W486" s="16"/>
      <c r="X486" s="16"/>
      <c r="Y486" s="16"/>
      <c r="Z486" s="16"/>
      <c r="AA486" s="16"/>
      <c r="AB486" s="11"/>
    </row>
    <row r="487" spans="13:28">
      <c r="M487" s="16"/>
      <c r="N487" s="16"/>
      <c r="O487" s="16"/>
      <c r="T487" s="16"/>
      <c r="U487" s="16"/>
      <c r="V487" s="16"/>
      <c r="W487" s="16"/>
      <c r="X487" s="16"/>
      <c r="Y487" s="16"/>
      <c r="Z487" s="16"/>
      <c r="AA487" s="16"/>
      <c r="AB487" s="11"/>
    </row>
    <row r="488" spans="13:28">
      <c r="M488" s="16"/>
      <c r="N488" s="16"/>
      <c r="O488" s="16"/>
      <c r="T488" s="16"/>
      <c r="U488" s="16"/>
      <c r="V488" s="16"/>
      <c r="W488" s="16"/>
      <c r="X488" s="16"/>
      <c r="Y488" s="16"/>
      <c r="Z488" s="16"/>
      <c r="AA488" s="16"/>
      <c r="AB488" s="11"/>
    </row>
    <row r="489" spans="13:28">
      <c r="M489" s="16"/>
      <c r="N489" s="16"/>
      <c r="O489" s="16"/>
      <c r="T489" s="16"/>
      <c r="U489" s="16"/>
      <c r="V489" s="16"/>
      <c r="W489" s="16"/>
      <c r="X489" s="16"/>
      <c r="Y489" s="16"/>
      <c r="Z489" s="16"/>
      <c r="AA489" s="16"/>
      <c r="AB489" s="11"/>
    </row>
    <row r="490" spans="13:28">
      <c r="M490" s="16"/>
      <c r="N490" s="16"/>
      <c r="O490" s="16"/>
      <c r="T490" s="16"/>
      <c r="U490" s="16"/>
      <c r="V490" s="16"/>
      <c r="W490" s="16"/>
      <c r="X490" s="16"/>
      <c r="Y490" s="16"/>
      <c r="Z490" s="16"/>
      <c r="AA490" s="16"/>
      <c r="AB490" s="11"/>
    </row>
    <row r="491" spans="13:28">
      <c r="M491" s="16"/>
      <c r="N491" s="16"/>
      <c r="O491" s="16"/>
      <c r="T491" s="16"/>
      <c r="U491" s="16"/>
      <c r="V491" s="16"/>
      <c r="W491" s="16"/>
      <c r="X491" s="16"/>
      <c r="Y491" s="16"/>
      <c r="Z491" s="16"/>
      <c r="AA491" s="16"/>
      <c r="AB491" s="11"/>
    </row>
    <row r="492" spans="13:28">
      <c r="M492" s="16"/>
      <c r="N492" s="16"/>
      <c r="O492" s="16"/>
      <c r="T492" s="16"/>
      <c r="U492" s="16"/>
      <c r="V492" s="16"/>
      <c r="W492" s="16"/>
      <c r="X492" s="16"/>
      <c r="Y492" s="16"/>
      <c r="Z492" s="16"/>
      <c r="AA492" s="16"/>
      <c r="AB492" s="11"/>
    </row>
    <row r="493" spans="13:28">
      <c r="M493" s="16"/>
      <c r="N493" s="16"/>
      <c r="O493" s="16"/>
      <c r="T493" s="16"/>
      <c r="U493" s="16"/>
      <c r="V493" s="16"/>
      <c r="W493" s="16"/>
      <c r="X493" s="16"/>
      <c r="Y493" s="16"/>
      <c r="Z493" s="16"/>
      <c r="AA493" s="16"/>
      <c r="AB493" s="11"/>
    </row>
    <row r="494" spans="13:28">
      <c r="M494" s="16"/>
      <c r="N494" s="16"/>
      <c r="O494" s="16"/>
      <c r="T494" s="16"/>
      <c r="U494" s="16"/>
      <c r="V494" s="16"/>
      <c r="W494" s="16"/>
      <c r="X494" s="16"/>
      <c r="Y494" s="16"/>
      <c r="Z494" s="16"/>
      <c r="AA494" s="16"/>
      <c r="AB494" s="11"/>
    </row>
    <row r="495" spans="13:28">
      <c r="M495" s="16"/>
      <c r="N495" s="16"/>
      <c r="O495" s="16"/>
      <c r="T495" s="16"/>
      <c r="U495" s="16"/>
      <c r="V495" s="16"/>
      <c r="W495" s="16"/>
      <c r="X495" s="16"/>
      <c r="Y495" s="16"/>
      <c r="Z495" s="16"/>
      <c r="AA495" s="16"/>
      <c r="AB495" s="11"/>
    </row>
    <row r="496" spans="13:28">
      <c r="M496" s="16"/>
      <c r="N496" s="16"/>
      <c r="O496" s="16"/>
      <c r="T496" s="16"/>
      <c r="U496" s="16"/>
      <c r="V496" s="16"/>
      <c r="W496" s="16"/>
      <c r="X496" s="16"/>
      <c r="Y496" s="16"/>
      <c r="Z496" s="16"/>
      <c r="AA496" s="16"/>
      <c r="AB496" s="11"/>
    </row>
    <row r="497" spans="13:28">
      <c r="M497" s="16"/>
      <c r="N497" s="16"/>
      <c r="O497" s="16"/>
      <c r="T497" s="16"/>
      <c r="U497" s="16"/>
      <c r="V497" s="16"/>
      <c r="W497" s="16"/>
      <c r="X497" s="16"/>
      <c r="Y497" s="16"/>
      <c r="Z497" s="16"/>
      <c r="AA497" s="16"/>
      <c r="AB497" s="11"/>
    </row>
    <row r="498" spans="13:28">
      <c r="M498" s="16"/>
      <c r="N498" s="16"/>
      <c r="O498" s="16"/>
      <c r="T498" s="16"/>
      <c r="U498" s="16"/>
      <c r="V498" s="16"/>
      <c r="W498" s="16"/>
      <c r="X498" s="16"/>
      <c r="Y498" s="16"/>
      <c r="Z498" s="16"/>
      <c r="AA498" s="16"/>
      <c r="AB498" s="11"/>
    </row>
    <row r="499" spans="13:28">
      <c r="M499" s="16"/>
      <c r="N499" s="16"/>
      <c r="O499" s="16"/>
      <c r="T499" s="16"/>
      <c r="U499" s="16"/>
      <c r="V499" s="16"/>
      <c r="W499" s="16"/>
      <c r="X499" s="16"/>
      <c r="Y499" s="16"/>
      <c r="Z499" s="16"/>
      <c r="AA499" s="16"/>
      <c r="AB499" s="11"/>
    </row>
    <row r="500" spans="13:28">
      <c r="M500" s="16"/>
      <c r="N500" s="16"/>
      <c r="O500" s="16"/>
      <c r="T500" s="16"/>
      <c r="U500" s="16"/>
      <c r="V500" s="16"/>
      <c r="W500" s="16"/>
      <c r="X500" s="16"/>
      <c r="Y500" s="16"/>
      <c r="Z500" s="16"/>
      <c r="AA500" s="16"/>
      <c r="AB500" s="11"/>
    </row>
  </sheetData>
  <phoneticPr fontId="8"/>
  <conditionalFormatting sqref="AA2:AA201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400-000000000000}">
          <x14:formula1>
            <xm:f>設定リスト!$A$2:$A$5</xm:f>
          </x14:formula1>
          <xm:sqref>R2:R201</xm:sqref>
        </x14:dataValidation>
        <x14:dataValidation type="list" xr:uid="{00000000-0002-0000-0400-000001000000}">
          <x14:formula1>
            <xm:f>設定リスト!$H$2:$H$6</xm:f>
          </x14:formula1>
          <xm:sqref>AD2:AD201</xm:sqref>
        </x14:dataValidation>
        <x14:dataValidation type="list" xr:uid="{00000000-0002-0000-0400-000002000000}">
          <x14:formula1>
            <xm:f>設定リスト!$I$2:$I$6</xm:f>
          </x14:formula1>
          <xm:sqref>AH2:AH201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workbookViewId="0"/>
  </sheetViews>
  <sheetFormatPr baseColWidth="10" defaultColWidth="8.83203125" defaultRowHeight="14"/>
  <cols>
    <col min="1" max="1" width="90" customWidth="1"/>
  </cols>
  <sheetData>
    <row r="1" spans="1:1" ht="18">
      <c r="A1" s="12" t="s">
        <v>94</v>
      </c>
    </row>
    <row r="2" spans="1:1">
      <c r="A2" t="s">
        <v>95</v>
      </c>
    </row>
    <row r="3" spans="1:1">
      <c r="A3" t="s">
        <v>96</v>
      </c>
    </row>
    <row r="4" spans="1:1">
      <c r="A4" t="s">
        <v>97</v>
      </c>
    </row>
    <row r="5" spans="1:1">
      <c r="A5" t="s">
        <v>98</v>
      </c>
    </row>
    <row r="6" spans="1:1">
      <c r="A6" t="s">
        <v>99</v>
      </c>
    </row>
  </sheetData>
  <phoneticPr fontId="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"/>
  <sheetViews>
    <sheetView workbookViewId="0"/>
  </sheetViews>
  <sheetFormatPr baseColWidth="10" defaultColWidth="8.83203125" defaultRowHeight="14"/>
  <cols>
    <col min="1" max="9" width="14" customWidth="1"/>
  </cols>
  <sheetData>
    <row r="1" spans="1:9" ht="15">
      <c r="A1" s="3" t="s">
        <v>9</v>
      </c>
      <c r="B1" s="3" t="s">
        <v>12</v>
      </c>
      <c r="C1" s="3" t="s">
        <v>15</v>
      </c>
      <c r="D1" s="3" t="s">
        <v>17</v>
      </c>
      <c r="E1" s="3" t="s">
        <v>62</v>
      </c>
      <c r="F1" s="3" t="s">
        <v>63</v>
      </c>
      <c r="G1" s="3" t="s">
        <v>64</v>
      </c>
      <c r="H1" s="3" t="s">
        <v>89</v>
      </c>
      <c r="I1" s="3" t="s">
        <v>93</v>
      </c>
    </row>
    <row r="2" spans="1:9">
      <c r="A2" t="s">
        <v>100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t="s">
        <v>105</v>
      </c>
      <c r="H2" t="s">
        <v>106</v>
      </c>
      <c r="I2" t="s">
        <v>107</v>
      </c>
    </row>
    <row r="3" spans="1:9">
      <c r="A3" t="s">
        <v>108</v>
      </c>
      <c r="B3" t="s">
        <v>109</v>
      </c>
      <c r="C3" t="s">
        <v>110</v>
      </c>
      <c r="D3" t="s">
        <v>111</v>
      </c>
      <c r="E3" t="s">
        <v>112</v>
      </c>
      <c r="F3" t="s">
        <v>113</v>
      </c>
      <c r="G3" t="s">
        <v>114</v>
      </c>
      <c r="H3" t="s">
        <v>115</v>
      </c>
      <c r="I3" t="s">
        <v>116</v>
      </c>
    </row>
    <row r="4" spans="1:9">
      <c r="A4" t="s">
        <v>117</v>
      </c>
      <c r="B4" t="s">
        <v>118</v>
      </c>
      <c r="C4" t="s">
        <v>119</v>
      </c>
      <c r="D4" t="s">
        <v>120</v>
      </c>
      <c r="E4" t="s">
        <v>121</v>
      </c>
      <c r="F4" t="s">
        <v>122</v>
      </c>
      <c r="G4" t="s">
        <v>113</v>
      </c>
      <c r="H4" t="s">
        <v>123</v>
      </c>
      <c r="I4" t="s">
        <v>124</v>
      </c>
    </row>
    <row r="5" spans="1:9">
      <c r="A5" t="s">
        <v>125</v>
      </c>
      <c r="B5" t="s">
        <v>126</v>
      </c>
      <c r="C5" t="s">
        <v>127</v>
      </c>
      <c r="D5" t="s">
        <v>128</v>
      </c>
      <c r="E5" t="s">
        <v>129</v>
      </c>
      <c r="F5" t="s">
        <v>130</v>
      </c>
      <c r="G5" t="s">
        <v>131</v>
      </c>
      <c r="H5" t="s">
        <v>132</v>
      </c>
      <c r="I5" t="s">
        <v>133</v>
      </c>
    </row>
    <row r="6" spans="1:9">
      <c r="B6" t="s">
        <v>134</v>
      </c>
      <c r="C6" t="s">
        <v>135</v>
      </c>
      <c r="D6" t="s">
        <v>136</v>
      </c>
      <c r="F6" t="s">
        <v>121</v>
      </c>
      <c r="G6" t="s">
        <v>137</v>
      </c>
      <c r="H6" t="s">
        <v>138</v>
      </c>
      <c r="I6" t="s">
        <v>138</v>
      </c>
    </row>
    <row r="7" spans="1:9">
      <c r="B7" t="s">
        <v>139</v>
      </c>
      <c r="C7" t="s">
        <v>136</v>
      </c>
      <c r="D7" t="s">
        <v>127</v>
      </c>
      <c r="G7" t="s">
        <v>140</v>
      </c>
    </row>
  </sheetData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本番管理</vt:lpstr>
      <vt:lpstr>本番管理の使い方</vt:lpstr>
      <vt:lpstr>出品中管理</vt:lpstr>
      <vt:lpstr>出品中管理の使い方</vt:lpstr>
      <vt:lpstr>受注管理</vt:lpstr>
      <vt:lpstr>受注管理の使い方</vt:lpstr>
      <vt:lpstr>設定リスト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文明 宮川</cp:lastModifiedBy>
  <dcterms:created xsi:type="dcterms:W3CDTF">2026-06-02T13:23:46Z</dcterms:created>
  <dcterms:modified xsi:type="dcterms:W3CDTF">2026-06-02T13:32:47Z</dcterms:modified>
</cp:coreProperties>
</file>